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https://d.docs.live.net/8b3e728bd4125820/Documentos/"/>
    </mc:Choice>
  </mc:AlternateContent>
  <xr:revisionPtr revIDLastSave="4527" documentId="13_ncr:1_{A7CBB754-BEF9-4881-9DEC-49973FA77881}" xr6:coauthVersionLast="47" xr6:coauthVersionMax="47" xr10:uidLastSave="{CD8253C4-6DB6-4F8C-9001-588B66BCDAEA}"/>
  <bookViews>
    <workbookView xWindow="2964" yWindow="2964" windowWidth="17280" windowHeight="9960" firstSheet="4" activeTab="1" xr2:uid="{00000000-000D-0000-FFFF-FFFF00000000}"/>
  </bookViews>
  <sheets>
    <sheet name="João Pullig" sheetId="10" r:id="rId1"/>
    <sheet name="Kaio Dias" sheetId="11" r:id="rId2"/>
    <sheet name="Pablo Ruan" sheetId="12" r:id="rId3"/>
    <sheet name="André Pullig" sheetId="7" r:id="rId4"/>
    <sheet name="Betania Ribeiro" sheetId="8" r:id="rId5"/>
    <sheet name="PARAMETROS" sheetId="1" r:id="rId6"/>
    <sheet name="DASHBOARD" sheetId="15" r:id="rId7"/>
    <sheet name="METAS" sheetId="16" r:id="rId8"/>
    <sheet name="HISTÓRICO" sheetId="4" r:id="rId9"/>
    <sheet name="COMO USAR" sheetId="5" r:id="rId10"/>
  </sheets>
  <definedNames>
    <definedName name="_xlnm._FilterDatabase" localSheetId="3" hidden="1">'André Pullig'!$A$6:$O$60</definedName>
    <definedName name="_xlnm._FilterDatabase" localSheetId="4" hidden="1">'Betania Ribeiro'!$A$6:$O$66</definedName>
    <definedName name="_xlnm._FilterDatabase" localSheetId="8" hidden="1">HISTÓRICO!$A$4:$Q$268</definedName>
    <definedName name="_xlnm._FilterDatabase" localSheetId="0" hidden="1">'João Pullig'!$A$6:$O$6</definedName>
    <definedName name="_xlnm._FilterDatabase" localSheetId="1" hidden="1">'Kaio Dias'!$A$6:$O$73</definedName>
    <definedName name="_xlnm._FilterDatabase" localSheetId="2" hidden="1">'Pablo Ruan'!$A$6:$O$64</definedName>
    <definedName name="ListaFluxo">PARAMETROS!$M$6:$M$51</definedName>
    <definedName name="ListaGerentes">PARAMETROS!$D$6:$D$56</definedName>
    <definedName name="ListaIndicadores">PARAMETROS!$S$6:$S$51</definedName>
    <definedName name="ListaMandato">PARAMETROS!$P$6:$P$49</definedName>
    <definedName name="ListaMotivos">PARAMETROS!$V$6:$V$51</definedName>
    <definedName name="ListaOperacoes">PARAMETROS!$G$6:$G$57</definedName>
    <definedName name="ListaParceiros">PARAMETROS!$A$6:$A$111</definedName>
    <definedName name="ListaStatus">PARAMETROS!$J$6:$J$52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1" l="1"/>
  <c r="E30" i="10"/>
  <c r="E29" i="7"/>
  <c r="E27" i="7"/>
  <c r="E38" i="7"/>
  <c r="E21" i="7"/>
  <c r="E20" i="7"/>
  <c r="E17" i="7"/>
  <c r="E36" i="12"/>
  <c r="E25" i="12"/>
  <c r="F80" i="4"/>
  <c r="F79" i="4"/>
  <c r="F78" i="4"/>
  <c r="F77" i="4"/>
  <c r="F76" i="4"/>
  <c r="F75" i="4"/>
  <c r="E32" i="11"/>
  <c r="E12" i="11"/>
  <c r="E8" i="11"/>
  <c r="E9" i="10"/>
  <c r="E15" i="10"/>
  <c r="E28" i="10"/>
  <c r="E20" i="10"/>
  <c r="E14" i="10"/>
  <c r="E18" i="11"/>
  <c r="F74" i="4"/>
  <c r="F73" i="4"/>
  <c r="F72" i="4"/>
  <c r="F71" i="4"/>
  <c r="F70" i="4"/>
  <c r="F69" i="4"/>
  <c r="F68" i="4"/>
  <c r="F67" i="4"/>
  <c r="F66" i="4"/>
  <c r="F65" i="4"/>
  <c r="E37" i="11"/>
  <c r="E31" i="11"/>
  <c r="E19" i="11"/>
  <c r="F64" i="4"/>
  <c r="F63" i="4"/>
  <c r="F62" i="4"/>
  <c r="F61" i="4"/>
  <c r="F60" i="4"/>
  <c r="F59" i="4"/>
  <c r="F58" i="4"/>
  <c r="F57" i="4"/>
  <c r="F56" i="4"/>
  <c r="F55" i="4"/>
  <c r="E24" i="10"/>
  <c r="E37" i="7"/>
  <c r="E36" i="7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E8" i="10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E7" i="10"/>
  <c r="F24" i="4"/>
  <c r="F23" i="4"/>
  <c r="F22" i="4"/>
  <c r="F21" i="4"/>
  <c r="F20" i="4"/>
  <c r="F19" i="4"/>
  <c r="E10" i="7"/>
  <c r="E11" i="7"/>
  <c r="F18" i="4"/>
  <c r="F17" i="4"/>
  <c r="P13" i="16"/>
  <c r="B4" i="16"/>
  <c r="F16" i="4"/>
  <c r="F15" i="4"/>
  <c r="F14" i="4"/>
  <c r="F13" i="4"/>
  <c r="F12" i="4"/>
  <c r="F11" i="4"/>
  <c r="F10" i="4"/>
  <c r="F9" i="4"/>
  <c r="F8" i="4"/>
  <c r="F7" i="4"/>
  <c r="F6" i="4"/>
  <c r="F5" i="4"/>
  <c r="E233" i="11"/>
  <c r="E255" i="11"/>
  <c r="E211" i="11"/>
  <c r="E189" i="11"/>
  <c r="E167" i="11"/>
  <c r="E145" i="11"/>
  <c r="E123" i="11"/>
  <c r="E101" i="11"/>
  <c r="E79" i="11"/>
  <c r="E57" i="11"/>
  <c r="E34" i="11"/>
  <c r="E23" i="11"/>
  <c r="E7" i="11"/>
  <c r="E9" i="11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7" i="7"/>
  <c r="E8" i="7"/>
  <c r="E9" i="7"/>
  <c r="E12" i="7"/>
  <c r="E13" i="7"/>
  <c r="E14" i="7"/>
  <c r="E15" i="7"/>
  <c r="E16" i="7"/>
  <c r="P8" i="16" s="1"/>
  <c r="E18" i="7"/>
  <c r="E19" i="7"/>
  <c r="E22" i="7"/>
  <c r="E23" i="7"/>
  <c r="E24" i="7"/>
  <c r="E25" i="7"/>
  <c r="E26" i="7"/>
  <c r="E28" i="7"/>
  <c r="E30" i="7"/>
  <c r="E31" i="7"/>
  <c r="E32" i="7"/>
  <c r="E33" i="7"/>
  <c r="E34" i="7"/>
  <c r="E35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7" i="12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6" i="12"/>
  <c r="E27" i="12"/>
  <c r="E28" i="12"/>
  <c r="E29" i="12"/>
  <c r="E30" i="12"/>
  <c r="E31" i="12"/>
  <c r="E32" i="12"/>
  <c r="E33" i="12"/>
  <c r="E34" i="12"/>
  <c r="E35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E50" i="12"/>
  <c r="E51" i="12"/>
  <c r="E52" i="12"/>
  <c r="E53" i="12"/>
  <c r="E54" i="12"/>
  <c r="E55" i="12"/>
  <c r="E56" i="12"/>
  <c r="E57" i="12"/>
  <c r="E58" i="12"/>
  <c r="E59" i="12"/>
  <c r="E60" i="12"/>
  <c r="E61" i="12"/>
  <c r="E62" i="12"/>
  <c r="E63" i="12"/>
  <c r="E64" i="12"/>
  <c r="E65" i="12"/>
  <c r="E66" i="12"/>
  <c r="E67" i="12"/>
  <c r="E68" i="12"/>
  <c r="E69" i="12"/>
  <c r="E70" i="12"/>
  <c r="E71" i="12"/>
  <c r="E72" i="12"/>
  <c r="E73" i="12"/>
  <c r="E74" i="12"/>
  <c r="E75" i="12"/>
  <c r="E76" i="12"/>
  <c r="E77" i="12"/>
  <c r="E78" i="12"/>
  <c r="E79" i="12"/>
  <c r="E80" i="12"/>
  <c r="E81" i="12"/>
  <c r="E82" i="12"/>
  <c r="E83" i="12"/>
  <c r="E84" i="12"/>
  <c r="E85" i="12"/>
  <c r="E86" i="12"/>
  <c r="E87" i="12"/>
  <c r="E88" i="12"/>
  <c r="E89" i="12"/>
  <c r="E90" i="12"/>
  <c r="E91" i="12"/>
  <c r="E92" i="12"/>
  <c r="E93" i="12"/>
  <c r="E94" i="12"/>
  <c r="E95" i="12"/>
  <c r="E96" i="12"/>
  <c r="E97" i="12"/>
  <c r="E98" i="12"/>
  <c r="E99" i="12"/>
  <c r="E100" i="12"/>
  <c r="E101" i="12"/>
  <c r="E102" i="12"/>
  <c r="E103" i="12"/>
  <c r="E104" i="12"/>
  <c r="E105" i="12"/>
  <c r="E106" i="12"/>
  <c r="E107" i="12"/>
  <c r="E108" i="12"/>
  <c r="E109" i="12"/>
  <c r="E110" i="12"/>
  <c r="E111" i="12"/>
  <c r="E112" i="12"/>
  <c r="E113" i="12"/>
  <c r="E114" i="12"/>
  <c r="E115" i="12"/>
  <c r="E116" i="12"/>
  <c r="E117" i="12"/>
  <c r="E118" i="12"/>
  <c r="E119" i="12"/>
  <c r="E120" i="12"/>
  <c r="E121" i="12"/>
  <c r="E122" i="12"/>
  <c r="E123" i="12"/>
  <c r="E124" i="12"/>
  <c r="E125" i="12"/>
  <c r="E126" i="12"/>
  <c r="E127" i="12"/>
  <c r="E128" i="12"/>
  <c r="E129" i="12"/>
  <c r="E130" i="12"/>
  <c r="E131" i="12"/>
  <c r="E132" i="12"/>
  <c r="E133" i="12"/>
  <c r="E134" i="12"/>
  <c r="E135" i="12"/>
  <c r="E136" i="12"/>
  <c r="E137" i="12"/>
  <c r="E138" i="12"/>
  <c r="E139" i="12"/>
  <c r="E140" i="12"/>
  <c r="E141" i="12"/>
  <c r="E142" i="12"/>
  <c r="E143" i="12"/>
  <c r="E144" i="12"/>
  <c r="E145" i="12"/>
  <c r="E146" i="12"/>
  <c r="E147" i="12"/>
  <c r="E148" i="12"/>
  <c r="E149" i="12"/>
  <c r="E150" i="12"/>
  <c r="E151" i="12"/>
  <c r="E152" i="12"/>
  <c r="E153" i="12"/>
  <c r="E154" i="12"/>
  <c r="E155" i="12"/>
  <c r="E156" i="12"/>
  <c r="E157" i="12"/>
  <c r="E158" i="12"/>
  <c r="E159" i="12"/>
  <c r="E160" i="12"/>
  <c r="E161" i="12"/>
  <c r="E162" i="12"/>
  <c r="E163" i="12"/>
  <c r="E164" i="12"/>
  <c r="E165" i="12"/>
  <c r="E166" i="12"/>
  <c r="E167" i="12"/>
  <c r="E168" i="12"/>
  <c r="E169" i="12"/>
  <c r="E170" i="12"/>
  <c r="E171" i="12"/>
  <c r="E172" i="12"/>
  <c r="E173" i="12"/>
  <c r="E174" i="12"/>
  <c r="E175" i="12"/>
  <c r="E176" i="12"/>
  <c r="E177" i="12"/>
  <c r="E178" i="12"/>
  <c r="E179" i="12"/>
  <c r="E180" i="12"/>
  <c r="E181" i="12"/>
  <c r="E182" i="12"/>
  <c r="E183" i="12"/>
  <c r="E184" i="12"/>
  <c r="E185" i="12"/>
  <c r="E186" i="12"/>
  <c r="E187" i="12"/>
  <c r="E188" i="12"/>
  <c r="E189" i="12"/>
  <c r="E190" i="12"/>
  <c r="E191" i="12"/>
  <c r="E192" i="12"/>
  <c r="E193" i="12"/>
  <c r="E194" i="12"/>
  <c r="E195" i="12"/>
  <c r="E196" i="12"/>
  <c r="E197" i="12"/>
  <c r="E198" i="12"/>
  <c r="E199" i="12"/>
  <c r="E200" i="12"/>
  <c r="E201" i="12"/>
  <c r="E202" i="12"/>
  <c r="E203" i="12"/>
  <c r="E204" i="12"/>
  <c r="E205" i="12"/>
  <c r="E206" i="12"/>
  <c r="E207" i="12"/>
  <c r="E208" i="12"/>
  <c r="E209" i="12"/>
  <c r="E210" i="12"/>
  <c r="E211" i="12"/>
  <c r="E212" i="12"/>
  <c r="E213" i="12"/>
  <c r="E214" i="12"/>
  <c r="E215" i="12"/>
  <c r="E216" i="12"/>
  <c r="E217" i="12"/>
  <c r="E218" i="12"/>
  <c r="E219" i="12"/>
  <c r="E220" i="12"/>
  <c r="E221" i="12"/>
  <c r="E222" i="12"/>
  <c r="E223" i="12"/>
  <c r="E224" i="12"/>
  <c r="E225" i="12"/>
  <c r="E226" i="12"/>
  <c r="E227" i="12"/>
  <c r="E228" i="12"/>
  <c r="E229" i="12"/>
  <c r="E230" i="12"/>
  <c r="E231" i="12"/>
  <c r="E232" i="12"/>
  <c r="E233" i="12"/>
  <c r="E234" i="12"/>
  <c r="E235" i="12"/>
  <c r="E236" i="12"/>
  <c r="E237" i="12"/>
  <c r="E238" i="12"/>
  <c r="E239" i="12"/>
  <c r="E240" i="12"/>
  <c r="E241" i="12"/>
  <c r="E242" i="12"/>
  <c r="E243" i="12"/>
  <c r="E244" i="12"/>
  <c r="E245" i="12"/>
  <c r="E246" i="12"/>
  <c r="E247" i="12"/>
  <c r="E248" i="12"/>
  <c r="E249" i="12"/>
  <c r="E250" i="12"/>
  <c r="E251" i="12"/>
  <c r="E252" i="12"/>
  <c r="E253" i="12"/>
  <c r="E254" i="12"/>
  <c r="E255" i="12"/>
  <c r="E256" i="12"/>
  <c r="E257" i="12"/>
  <c r="E258" i="12"/>
  <c r="E259" i="12"/>
  <c r="E260" i="12"/>
  <c r="E261" i="12"/>
  <c r="E262" i="12"/>
  <c r="E263" i="12"/>
  <c r="E264" i="12"/>
  <c r="E265" i="12"/>
  <c r="E266" i="12"/>
  <c r="E267" i="12"/>
  <c r="E268" i="12"/>
  <c r="E269" i="12"/>
  <c r="E270" i="12"/>
  <c r="E271" i="12"/>
  <c r="E272" i="12"/>
  <c r="E273" i="12"/>
  <c r="E274" i="12"/>
  <c r="E10" i="11"/>
  <c r="E11" i="11"/>
  <c r="G47" i="15"/>
  <c r="E13" i="11"/>
  <c r="E14" i="11"/>
  <c r="E17" i="11"/>
  <c r="E20" i="11"/>
  <c r="E15" i="11"/>
  <c r="E21" i="11"/>
  <c r="E22" i="11"/>
  <c r="E24" i="11"/>
  <c r="E25" i="11"/>
  <c r="E26" i="11"/>
  <c r="E27" i="11"/>
  <c r="E28" i="11"/>
  <c r="E29" i="11"/>
  <c r="E30" i="11"/>
  <c r="E33" i="11"/>
  <c r="E35" i="11"/>
  <c r="E36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D290" i="12"/>
  <c r="E290" i="12" s="1"/>
  <c r="D289" i="12"/>
  <c r="E289" i="12" s="1"/>
  <c r="D288" i="12"/>
  <c r="E288" i="12" s="1"/>
  <c r="D287" i="12"/>
  <c r="E287" i="12" s="1"/>
  <c r="D286" i="12"/>
  <c r="E286" i="12" s="1"/>
  <c r="D285" i="12"/>
  <c r="E285" i="12" s="1"/>
  <c r="D284" i="12"/>
  <c r="E284" i="12" s="1"/>
  <c r="D283" i="12"/>
  <c r="E283" i="12" s="1"/>
  <c r="D282" i="12"/>
  <c r="E282" i="12" s="1"/>
  <c r="D281" i="12"/>
  <c r="E281" i="12" s="1"/>
  <c r="D280" i="12"/>
  <c r="E280" i="12" s="1"/>
  <c r="D279" i="12"/>
  <c r="E279" i="12" s="1"/>
  <c r="D278" i="12"/>
  <c r="E278" i="12" s="1"/>
  <c r="D277" i="12"/>
  <c r="E277" i="12" s="1"/>
  <c r="D276" i="12"/>
  <c r="E276" i="12" s="1"/>
  <c r="D275" i="12"/>
  <c r="E275" i="12" s="1"/>
  <c r="D308" i="7"/>
  <c r="E308" i="7" s="1"/>
  <c r="D307" i="7"/>
  <c r="E307" i="7" s="1"/>
  <c r="D306" i="7"/>
  <c r="E306" i="7" s="1"/>
  <c r="D305" i="7"/>
  <c r="E305" i="7" s="1"/>
  <c r="D304" i="7"/>
  <c r="E304" i="7" s="1"/>
  <c r="D303" i="7"/>
  <c r="E303" i="7" s="1"/>
  <c r="D302" i="7"/>
  <c r="E302" i="7" s="1"/>
  <c r="D301" i="7"/>
  <c r="E301" i="7" s="1"/>
  <c r="D300" i="7"/>
  <c r="E300" i="7" s="1"/>
  <c r="D299" i="7"/>
  <c r="E299" i="7" s="1"/>
  <c r="D298" i="7"/>
  <c r="E298" i="7" s="1"/>
  <c r="D297" i="7"/>
  <c r="E297" i="7" s="1"/>
  <c r="D296" i="7"/>
  <c r="E296" i="7" s="1"/>
  <c r="D295" i="7"/>
  <c r="E295" i="7" s="1"/>
  <c r="D294" i="7"/>
  <c r="E294" i="7" s="1"/>
  <c r="D293" i="7"/>
  <c r="E293" i="7" s="1"/>
  <c r="D292" i="7"/>
  <c r="E292" i="7" s="1"/>
  <c r="D291" i="7"/>
  <c r="E291" i="7" s="1"/>
  <c r="D290" i="7"/>
  <c r="E290" i="7" s="1"/>
  <c r="D289" i="7"/>
  <c r="E289" i="7" s="1"/>
  <c r="E10" i="10"/>
  <c r="E11" i="10"/>
  <c r="E12" i="10"/>
  <c r="E13" i="10"/>
  <c r="E16" i="10"/>
  <c r="E17" i="10"/>
  <c r="E18" i="10"/>
  <c r="E19" i="10"/>
  <c r="E21" i="10"/>
  <c r="E22" i="10"/>
  <c r="E23" i="10"/>
  <c r="E25" i="10"/>
  <c r="E26" i="10"/>
  <c r="E27" i="10"/>
  <c r="E29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E262" i="10"/>
  <c r="E263" i="10"/>
  <c r="E264" i="10"/>
  <c r="E265" i="10"/>
  <c r="E266" i="10"/>
  <c r="E267" i="10"/>
  <c r="E268" i="10"/>
  <c r="E269" i="10"/>
  <c r="E270" i="10"/>
  <c r="E271" i="10"/>
  <c r="E272" i="10"/>
  <c r="E273" i="10"/>
  <c r="E274" i="10"/>
  <c r="E275" i="10"/>
  <c r="E276" i="10"/>
  <c r="E277" i="10"/>
  <c r="E291" i="12"/>
  <c r="E292" i="12"/>
  <c r="E293" i="12"/>
  <c r="E294" i="12"/>
  <c r="E295" i="12"/>
  <c r="E296" i="12"/>
  <c r="E297" i="12"/>
  <c r="E298" i="12"/>
  <c r="E299" i="12"/>
  <c r="E300" i="12"/>
  <c r="E301" i="12"/>
  <c r="E302" i="12"/>
  <c r="E303" i="12"/>
  <c r="E304" i="12"/>
  <c r="E305" i="12"/>
  <c r="E306" i="12"/>
  <c r="E307" i="12"/>
  <c r="E308" i="12"/>
  <c r="E309" i="12"/>
  <c r="E310" i="12"/>
  <c r="E311" i="12"/>
  <c r="E312" i="12"/>
  <c r="E313" i="12"/>
  <c r="E314" i="12"/>
  <c r="E315" i="12"/>
  <c r="E316" i="12"/>
  <c r="E317" i="12"/>
  <c r="E318" i="12"/>
  <c r="E319" i="12"/>
  <c r="E320" i="12"/>
  <c r="E321" i="12"/>
  <c r="E322" i="12"/>
  <c r="E323" i="12"/>
  <c r="E324" i="12"/>
  <c r="E325" i="12"/>
  <c r="E326" i="12"/>
  <c r="E327" i="12"/>
  <c r="E328" i="12"/>
  <c r="E329" i="12"/>
  <c r="E330" i="12"/>
  <c r="E331" i="12"/>
  <c r="E332" i="12"/>
  <c r="E333" i="12"/>
  <c r="E334" i="12"/>
  <c r="E335" i="12"/>
  <c r="E336" i="12"/>
  <c r="E337" i="12"/>
  <c r="E338" i="12"/>
  <c r="E339" i="12"/>
  <c r="E340" i="12"/>
  <c r="E341" i="12"/>
  <c r="E342" i="12"/>
  <c r="E343" i="12"/>
  <c r="E344" i="12"/>
  <c r="E345" i="12"/>
  <c r="E346" i="12"/>
  <c r="E347" i="12"/>
  <c r="E348" i="12"/>
  <c r="E349" i="12"/>
  <c r="E350" i="12"/>
  <c r="E351" i="12"/>
  <c r="E352" i="12"/>
  <c r="E353" i="12"/>
  <c r="E354" i="12"/>
  <c r="E355" i="12"/>
  <c r="E356" i="12"/>
  <c r="E357" i="12"/>
  <c r="E358" i="12"/>
  <c r="E359" i="12"/>
  <c r="E360" i="12"/>
  <c r="E361" i="12"/>
  <c r="E362" i="12"/>
  <c r="E363" i="12"/>
  <c r="E364" i="12"/>
  <c r="E365" i="12"/>
  <c r="E366" i="12"/>
  <c r="E367" i="12"/>
  <c r="E368" i="12"/>
  <c r="E369" i="12"/>
  <c r="E370" i="12"/>
  <c r="E371" i="12"/>
  <c r="E372" i="12"/>
  <c r="E373" i="12"/>
  <c r="E374" i="12"/>
  <c r="E375" i="12"/>
  <c r="E376" i="12"/>
  <c r="E377" i="12"/>
  <c r="E378" i="12"/>
  <c r="E379" i="12"/>
  <c r="E380" i="12"/>
  <c r="E381" i="12"/>
  <c r="E382" i="12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278" i="10"/>
  <c r="E279" i="10"/>
  <c r="E280" i="10"/>
  <c r="E281" i="10"/>
  <c r="E282" i="10"/>
  <c r="E283" i="10"/>
  <c r="E284" i="10"/>
  <c r="E285" i="10"/>
  <c r="E286" i="10"/>
  <c r="E287" i="10"/>
  <c r="E288" i="10"/>
  <c r="E289" i="10"/>
  <c r="E290" i="10"/>
  <c r="E291" i="10"/>
  <c r="E292" i="10"/>
  <c r="E293" i="10"/>
  <c r="E294" i="10"/>
  <c r="E295" i="10"/>
  <c r="E296" i="10"/>
  <c r="E297" i="10"/>
  <c r="E298" i="10"/>
  <c r="E299" i="10"/>
  <c r="E300" i="10"/>
  <c r="E301" i="10"/>
  <c r="E302" i="10"/>
  <c r="E303" i="10"/>
  <c r="E304" i="10"/>
  <c r="E305" i="10"/>
  <c r="E306" i="10"/>
  <c r="E307" i="10"/>
  <c r="E308" i="10"/>
  <c r="E309" i="10"/>
  <c r="E310" i="10"/>
  <c r="E311" i="10"/>
  <c r="E312" i="10"/>
  <c r="E313" i="10"/>
  <c r="E314" i="10"/>
  <c r="E315" i="10"/>
  <c r="E316" i="10"/>
  <c r="E317" i="10"/>
  <c r="E318" i="10"/>
  <c r="E319" i="10"/>
  <c r="E320" i="10"/>
  <c r="E321" i="10"/>
  <c r="E322" i="10"/>
  <c r="E323" i="10"/>
  <c r="E324" i="10"/>
  <c r="E325" i="10"/>
  <c r="E326" i="10"/>
  <c r="E327" i="10"/>
  <c r="E328" i="10"/>
  <c r="E329" i="10"/>
  <c r="E330" i="10"/>
  <c r="E331" i="10"/>
  <c r="E332" i="10"/>
  <c r="E333" i="10"/>
  <c r="E334" i="10"/>
  <c r="E335" i="10"/>
  <c r="E336" i="10"/>
  <c r="E337" i="10"/>
  <c r="E338" i="10"/>
  <c r="E339" i="10"/>
  <c r="E340" i="10"/>
  <c r="E341" i="10"/>
  <c r="E342" i="10"/>
  <c r="E343" i="10"/>
  <c r="E344" i="10"/>
  <c r="E345" i="10"/>
  <c r="E346" i="10"/>
  <c r="E347" i="10"/>
  <c r="E348" i="10"/>
  <c r="E349" i="10"/>
  <c r="E350" i="10"/>
  <c r="E351" i="10"/>
  <c r="E352" i="10"/>
  <c r="E353" i="10"/>
  <c r="E354" i="10"/>
  <c r="E355" i="10"/>
  <c r="E356" i="10"/>
  <c r="E357" i="10"/>
  <c r="E358" i="10"/>
  <c r="E359" i="10"/>
  <c r="E360" i="10"/>
  <c r="E361" i="10"/>
  <c r="E362" i="10"/>
  <c r="E363" i="10"/>
  <c r="E364" i="10"/>
  <c r="E365" i="10"/>
  <c r="E366" i="10"/>
  <c r="E367" i="10"/>
  <c r="E368" i="10"/>
  <c r="E369" i="10"/>
  <c r="E370" i="10"/>
  <c r="E371" i="10"/>
  <c r="E372" i="10"/>
  <c r="E373" i="10"/>
  <c r="E374" i="10"/>
  <c r="E375" i="10"/>
  <c r="E376" i="10"/>
  <c r="E377" i="10"/>
  <c r="E378" i="10"/>
  <c r="E379" i="10"/>
  <c r="E380" i="10"/>
  <c r="E381" i="10"/>
  <c r="E382" i="10"/>
  <c r="E383" i="10"/>
  <c r="E384" i="10"/>
  <c r="E385" i="10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309" i="7"/>
  <c r="E310" i="7"/>
  <c r="E311" i="7"/>
  <c r="E312" i="7"/>
  <c r="E313" i="7"/>
  <c r="E314" i="7"/>
  <c r="E315" i="7"/>
  <c r="E316" i="7"/>
  <c r="E317" i="7"/>
  <c r="E318" i="7"/>
  <c r="E319" i="7"/>
  <c r="E320" i="7"/>
  <c r="E321" i="7"/>
  <c r="E322" i="7"/>
  <c r="E323" i="7"/>
  <c r="E324" i="7"/>
  <c r="E325" i="7"/>
  <c r="E326" i="7"/>
  <c r="E327" i="7"/>
  <c r="E328" i="7"/>
  <c r="E329" i="7"/>
  <c r="E330" i="7"/>
  <c r="E331" i="7"/>
  <c r="E332" i="7"/>
  <c r="E333" i="7"/>
  <c r="E334" i="7"/>
  <c r="E335" i="7"/>
  <c r="E336" i="7"/>
  <c r="E337" i="7"/>
  <c r="E338" i="7"/>
  <c r="E339" i="7"/>
  <c r="E340" i="7"/>
  <c r="E341" i="7"/>
  <c r="E342" i="7"/>
  <c r="E343" i="7"/>
  <c r="E344" i="7"/>
  <c r="E345" i="7"/>
  <c r="E346" i="7"/>
  <c r="E347" i="7"/>
  <c r="E348" i="7"/>
  <c r="E349" i="7"/>
  <c r="E350" i="7"/>
  <c r="E351" i="7"/>
  <c r="E352" i="7"/>
  <c r="E353" i="7"/>
  <c r="E354" i="7"/>
  <c r="E355" i="7"/>
  <c r="E356" i="7"/>
  <c r="E357" i="7"/>
  <c r="E358" i="7"/>
  <c r="E359" i="7"/>
  <c r="E360" i="7"/>
  <c r="E361" i="7"/>
  <c r="E362" i="7"/>
  <c r="E363" i="7"/>
  <c r="E364" i="7"/>
  <c r="E365" i="7"/>
  <c r="E366" i="7"/>
  <c r="E367" i="7"/>
  <c r="E368" i="7"/>
  <c r="E369" i="7"/>
  <c r="E370" i="7"/>
  <c r="E371" i="7"/>
  <c r="E372" i="7"/>
  <c r="E373" i="7"/>
  <c r="E374" i="7"/>
  <c r="E375" i="7"/>
  <c r="E376" i="7"/>
  <c r="E377" i="7"/>
  <c r="E378" i="7"/>
  <c r="E379" i="7"/>
  <c r="E380" i="7"/>
  <c r="E381" i="7"/>
  <c r="E382" i="7"/>
  <c r="E383" i="7"/>
  <c r="E384" i="7"/>
  <c r="E385" i="7"/>
  <c r="E386" i="7"/>
  <c r="E387" i="7"/>
  <c r="E388" i="7"/>
  <c r="E389" i="7"/>
  <c r="E390" i="7"/>
  <c r="E391" i="7"/>
  <c r="E392" i="7"/>
  <c r="E393" i="7"/>
  <c r="E394" i="7"/>
  <c r="E395" i="7"/>
  <c r="E396" i="7"/>
  <c r="M36" i="16"/>
  <c r="L36" i="16"/>
  <c r="K36" i="16"/>
  <c r="J36" i="16"/>
  <c r="I36" i="16"/>
  <c r="H36" i="16"/>
  <c r="G36" i="16"/>
  <c r="F36" i="16"/>
  <c r="E36" i="16"/>
  <c r="D36" i="16"/>
  <c r="C36" i="16"/>
  <c r="B36" i="16"/>
  <c r="N32" i="16"/>
  <c r="H29" i="16"/>
  <c r="G29" i="16"/>
  <c r="F29" i="16"/>
  <c r="E29" i="16"/>
  <c r="D29" i="16"/>
  <c r="C29" i="16"/>
  <c r="N27" i="16"/>
  <c r="G24" i="16"/>
  <c r="F24" i="16"/>
  <c r="E24" i="16"/>
  <c r="D24" i="16"/>
  <c r="C24" i="16"/>
  <c r="N22" i="16"/>
  <c r="N17" i="16"/>
  <c r="M14" i="16"/>
  <c r="L14" i="16"/>
  <c r="K14" i="16"/>
  <c r="J14" i="16"/>
  <c r="I14" i="16"/>
  <c r="H14" i="16"/>
  <c r="G14" i="16"/>
  <c r="F14" i="16"/>
  <c r="E14" i="16"/>
  <c r="D14" i="16"/>
  <c r="C14" i="16"/>
  <c r="B14" i="16"/>
  <c r="N12" i="16"/>
  <c r="N7" i="16"/>
  <c r="E47" i="15"/>
  <c r="C47" i="15"/>
  <c r="A47" i="15"/>
  <c r="D41" i="15"/>
  <c r="C41" i="15"/>
  <c r="B41" i="15"/>
  <c r="D40" i="15"/>
  <c r="C40" i="15"/>
  <c r="B40" i="15"/>
  <c r="D39" i="15"/>
  <c r="C39" i="15"/>
  <c r="B39" i="15"/>
  <c r="D38" i="15"/>
  <c r="C38" i="15"/>
  <c r="B38" i="15"/>
  <c r="D37" i="15"/>
  <c r="C37" i="15"/>
  <c r="B37" i="15"/>
  <c r="D36" i="15"/>
  <c r="C36" i="15"/>
  <c r="B36" i="15"/>
  <c r="D35" i="15"/>
  <c r="C35" i="15"/>
  <c r="B35" i="15"/>
  <c r="D34" i="15"/>
  <c r="C34" i="15"/>
  <c r="B34" i="15"/>
  <c r="D33" i="15"/>
  <c r="C33" i="15"/>
  <c r="B33" i="15"/>
  <c r="D32" i="15"/>
  <c r="C32" i="15"/>
  <c r="B32" i="15"/>
  <c r="D31" i="15"/>
  <c r="C31" i="15"/>
  <c r="B31" i="15"/>
  <c r="D30" i="15"/>
  <c r="C30" i="15"/>
  <c r="B30" i="15"/>
  <c r="C26" i="15"/>
  <c r="B26" i="15"/>
  <c r="C25" i="15"/>
  <c r="B25" i="15"/>
  <c r="C24" i="15"/>
  <c r="B24" i="15"/>
  <c r="C23" i="15"/>
  <c r="B23" i="15"/>
  <c r="C22" i="15"/>
  <c r="B22" i="15"/>
  <c r="C21" i="15"/>
  <c r="B21" i="15"/>
  <c r="C20" i="15"/>
  <c r="B20" i="15"/>
  <c r="F15" i="15"/>
  <c r="E15" i="15"/>
  <c r="D15" i="15"/>
  <c r="C15" i="15"/>
  <c r="B15" i="15"/>
  <c r="E14" i="15"/>
  <c r="D14" i="15"/>
  <c r="C14" i="15"/>
  <c r="B14" i="15"/>
  <c r="E13" i="15"/>
  <c r="D13" i="15"/>
  <c r="C13" i="15"/>
  <c r="B13" i="15"/>
  <c r="E12" i="15"/>
  <c r="D12" i="15"/>
  <c r="C12" i="15"/>
  <c r="B12" i="15"/>
  <c r="F11" i="15"/>
  <c r="E11" i="15"/>
  <c r="D11" i="15"/>
  <c r="C11" i="15"/>
  <c r="B11" i="15"/>
  <c r="E10" i="15"/>
  <c r="D10" i="15"/>
  <c r="C10" i="15"/>
  <c r="B10" i="15"/>
  <c r="E6" i="15"/>
  <c r="C6" i="15"/>
  <c r="A6" i="15"/>
  <c r="F268" i="4"/>
  <c r="F267" i="4"/>
  <c r="F266" i="4"/>
  <c r="F265" i="4"/>
  <c r="F264" i="4"/>
  <c r="F263" i="4"/>
  <c r="F262" i="4"/>
  <c r="F261" i="4"/>
  <c r="F260" i="4"/>
  <c r="F259" i="4"/>
  <c r="F258" i="4"/>
  <c r="F257" i="4"/>
  <c r="F256" i="4"/>
  <c r="F255" i="4"/>
  <c r="F254" i="4"/>
  <c r="F253" i="4"/>
  <c r="F252" i="4"/>
  <c r="F251" i="4"/>
  <c r="F250" i="4"/>
  <c r="F249" i="4"/>
  <c r="F248" i="4"/>
  <c r="F247" i="4"/>
  <c r="F246" i="4"/>
  <c r="F245" i="4"/>
  <c r="F244" i="4"/>
  <c r="F243" i="4"/>
  <c r="F242" i="4"/>
  <c r="F241" i="4"/>
  <c r="F240" i="4"/>
  <c r="F239" i="4"/>
  <c r="F238" i="4"/>
  <c r="F237" i="4"/>
  <c r="F236" i="4"/>
  <c r="F235" i="4"/>
  <c r="F234" i="4"/>
  <c r="F233" i="4"/>
  <c r="F232" i="4"/>
  <c r="F231" i="4"/>
  <c r="F230" i="4"/>
  <c r="F229" i="4"/>
  <c r="F228" i="4"/>
  <c r="F227" i="4"/>
  <c r="F226" i="4"/>
  <c r="F225" i="4"/>
  <c r="F224" i="4"/>
  <c r="F223" i="4"/>
  <c r="F222" i="4"/>
  <c r="F221" i="4"/>
  <c r="F220" i="4"/>
  <c r="F219" i="4"/>
  <c r="F218" i="4"/>
  <c r="F217" i="4"/>
  <c r="F216" i="4"/>
  <c r="F215" i="4"/>
  <c r="F214" i="4"/>
  <c r="F213" i="4"/>
  <c r="F212" i="4"/>
  <c r="F211" i="4"/>
  <c r="F210" i="4"/>
  <c r="F209" i="4"/>
  <c r="F12" i="15" l="1"/>
  <c r="F10" i="15"/>
  <c r="F14" i="15"/>
  <c r="P28" i="16"/>
  <c r="P23" i="16"/>
  <c r="F13" i="15"/>
  <c r="G6" i="15"/>
  <c r="P18" i="16"/>
  <c r="N36" i="16"/>
  <c r="D8" i="16"/>
  <c r="M28" i="16"/>
  <c r="M29" i="16" s="1"/>
  <c r="L28" i="16"/>
  <c r="L29" i="16" s="1"/>
  <c r="K28" i="16"/>
  <c r="K29" i="16" s="1"/>
  <c r="J28" i="16"/>
  <c r="J29" i="16" s="1"/>
  <c r="I28" i="16"/>
  <c r="C8" i="16"/>
  <c r="M23" i="16"/>
  <c r="M24" i="16" s="1"/>
  <c r="L23" i="16"/>
  <c r="L24" i="16" s="1"/>
  <c r="K23" i="16"/>
  <c r="K24" i="16" s="1"/>
  <c r="J23" i="16"/>
  <c r="J24" i="16" s="1"/>
  <c r="I23" i="16"/>
  <c r="I24" i="16" s="1"/>
  <c r="B8" i="16"/>
  <c r="M18" i="16"/>
  <c r="M19" i="16" s="1"/>
  <c r="L18" i="16"/>
  <c r="L19" i="16" s="1"/>
  <c r="K18" i="16"/>
  <c r="K19" i="16" s="1"/>
  <c r="J18" i="16"/>
  <c r="J19" i="16" s="1"/>
  <c r="I19" i="16"/>
  <c r="H18" i="16"/>
  <c r="H19" i="16" s="1"/>
  <c r="G18" i="16"/>
  <c r="G19" i="16" s="1"/>
  <c r="F18" i="16"/>
  <c r="F19" i="16" s="1"/>
  <c r="E18" i="16"/>
  <c r="E19" i="16" s="1"/>
  <c r="D18" i="16"/>
  <c r="D19" i="16" s="1"/>
  <c r="C18" i="16"/>
  <c r="C19" i="16" s="1"/>
  <c r="B18" i="16"/>
  <c r="M13" i="16"/>
  <c r="L13" i="16"/>
  <c r="K13" i="16"/>
  <c r="J13" i="16"/>
  <c r="I13" i="16"/>
  <c r="H13" i="16"/>
  <c r="G13" i="16"/>
  <c r="F13" i="16"/>
  <c r="E13" i="16"/>
  <c r="D13" i="16"/>
  <c r="C13" i="16"/>
  <c r="B13" i="16"/>
  <c r="M8" i="16"/>
  <c r="L8" i="16"/>
  <c r="K8" i="16"/>
  <c r="J8" i="16"/>
  <c r="I8" i="16"/>
  <c r="H8" i="16"/>
  <c r="G8" i="16"/>
  <c r="F8" i="16"/>
  <c r="E8" i="16"/>
  <c r="D26" i="15"/>
  <c r="D16" i="15"/>
  <c r="C16" i="15"/>
  <c r="B16" i="15"/>
  <c r="E16" i="15"/>
  <c r="D25" i="15"/>
  <c r="B29" i="16"/>
  <c r="B24" i="16"/>
  <c r="N14" i="16"/>
  <c r="O14" i="16"/>
  <c r="D24" i="15"/>
  <c r="D23" i="15"/>
  <c r="D22" i="15"/>
  <c r="D21" i="15"/>
  <c r="D20" i="15"/>
  <c r="F16" i="15" l="1"/>
  <c r="G13" i="15" s="1"/>
  <c r="N13" i="16"/>
  <c r="D9" i="16"/>
  <c r="D37" i="16"/>
  <c r="I29" i="16"/>
  <c r="N28" i="16"/>
  <c r="C37" i="16"/>
  <c r="C9" i="16"/>
  <c r="H24" i="16"/>
  <c r="N23" i="16"/>
  <c r="B37" i="16"/>
  <c r="B9" i="16"/>
  <c r="N8" i="16"/>
  <c r="B19" i="16"/>
  <c r="N18" i="16"/>
  <c r="M37" i="16"/>
  <c r="M9" i="16"/>
  <c r="L9" i="16"/>
  <c r="L37" i="16"/>
  <c r="K9" i="16"/>
  <c r="K37" i="16"/>
  <c r="J9" i="16"/>
  <c r="J37" i="16"/>
  <c r="I37" i="16"/>
  <c r="I9" i="16"/>
  <c r="H9" i="16"/>
  <c r="H37" i="16"/>
  <c r="G37" i="16"/>
  <c r="G9" i="16"/>
  <c r="F37" i="16"/>
  <c r="F9" i="16"/>
  <c r="E37" i="16"/>
  <c r="E9" i="16"/>
  <c r="G11" i="15" l="1"/>
  <c r="G14" i="15"/>
  <c r="G10" i="15"/>
  <c r="G12" i="15"/>
  <c r="G15" i="15"/>
  <c r="N19" i="16"/>
  <c r="O19" i="16"/>
  <c r="N29" i="16"/>
  <c r="O29" i="16"/>
  <c r="N24" i="16"/>
  <c r="O24" i="16"/>
  <c r="N9" i="16"/>
  <c r="O9" i="16"/>
  <c r="N37" i="16"/>
  <c r="G16" i="15" l="1"/>
</calcChain>
</file>

<file path=xl/sharedStrings.xml><?xml version="1.0" encoding="utf-8"?>
<sst xmlns="http://schemas.openxmlformats.org/spreadsheetml/2006/main" count="2369" uniqueCount="488">
  <si>
    <t>CLIENTE</t>
  </si>
  <si>
    <t>OPERAÇÃO</t>
  </si>
  <si>
    <t>VALOR</t>
  </si>
  <si>
    <t>FEE</t>
  </si>
  <si>
    <t>RECEITA</t>
  </si>
  <si>
    <t>MANDATO</t>
  </si>
  <si>
    <t>QTD</t>
  </si>
  <si>
    <t>INSTITUIÇÃO</t>
  </si>
  <si>
    <t>PARCEIRO INDICADOR</t>
  </si>
  <si>
    <t>ATUALIZAÇÃO</t>
  </si>
  <si>
    <t>FLUXO</t>
  </si>
  <si>
    <t>STATUS</t>
  </si>
  <si>
    <t>DATA FECHAMENTO</t>
  </si>
  <si>
    <t>MOTIVO DE RECUSA</t>
  </si>
  <si>
    <t>OBSERVAÇÃO</t>
  </si>
  <si>
    <t xml:space="preserve">CGPM CONSTRUTORA GOIANIA </t>
  </si>
  <si>
    <t xml:space="preserve">⁠Antecipação de Recebíveis </t>
  </si>
  <si>
    <t>Assinado</t>
  </si>
  <si>
    <t>7 ALDABRAN</t>
  </si>
  <si>
    <t>PJC Consultoria</t>
  </si>
  <si>
    <t>Em andamento</t>
  </si>
  <si>
    <t>Análise de Crédito</t>
  </si>
  <si>
    <t>Contratos públicos</t>
  </si>
  <si>
    <t>DIAMOND</t>
  </si>
  <si>
    <t>PEDRO BRIDI</t>
  </si>
  <si>
    <t>⁠Credito Rural</t>
  </si>
  <si>
    <t>Não enviado</t>
  </si>
  <si>
    <t>⁠VM Consultoria</t>
  </si>
  <si>
    <t>GRUPO GR ALIMENTOS</t>
  </si>
  <si>
    <t>Capital de Giro</t>
  </si>
  <si>
    <t>SAPIENS CAPITAL</t>
  </si>
  <si>
    <t>⁠MB Finance</t>
  </si>
  <si>
    <t>Cadastro</t>
  </si>
  <si>
    <t>INVISTA FIDC</t>
  </si>
  <si>
    <t>ROV ENGENHARIA E CONSTRUCAO LTDA</t>
  </si>
  <si>
    <t>⁠Blue Score</t>
  </si>
  <si>
    <t>Aprovado</t>
  </si>
  <si>
    <t>OXIGENIO CAPITAL</t>
  </si>
  <si>
    <t>TISSOT MOVEIS LTDA</t>
  </si>
  <si>
    <t>NÃO ATRIBUÍDO</t>
  </si>
  <si>
    <t>SG FACAS ARTESANAIS</t>
  </si>
  <si>
    <t>LOBE CONTABILIDADE</t>
  </si>
  <si>
    <t>Pronampe</t>
  </si>
  <si>
    <t>RENOVADORA ALVORADA COMERCIO</t>
  </si>
  <si>
    <t>AFFIX FIDC</t>
  </si>
  <si>
    <t>PAULO VINICIUS</t>
  </si>
  <si>
    <t>GPM MODULAR STEEL LTDA</t>
  </si>
  <si>
    <t>BLACK DIAMOND LTDA</t>
  </si>
  <si>
    <t>Não assinado</t>
  </si>
  <si>
    <t>LIPON QUIMICA</t>
  </si>
  <si>
    <t>COTRITECH</t>
  </si>
  <si>
    <t>MEDFARMA</t>
  </si>
  <si>
    <t>MMA ALIMENTOS</t>
  </si>
  <si>
    <t>PRIX EMPRESARIAL</t>
  </si>
  <si>
    <t>PACHECO ENGENHARIA</t>
  </si>
  <si>
    <t>⁠FGI</t>
  </si>
  <si>
    <t>⁠Sapiens Capital</t>
  </si>
  <si>
    <t>ALFRANIO ALVES JUNIOR</t>
  </si>
  <si>
    <t>SICOOB</t>
  </si>
  <si>
    <t xml:space="preserve"> Astrum Finance</t>
  </si>
  <si>
    <t>RDOIS COMPONENTES</t>
  </si>
  <si>
    <t>IRMAOS KUNST CONSTRUTORA</t>
  </si>
  <si>
    <t>STEPHANIE CLASSIC</t>
  </si>
  <si>
    <t>VS INCORPORADORA</t>
  </si>
  <si>
    <t>ROTEC METAIS</t>
  </si>
  <si>
    <t>SIMEMP SERVICOS TECNICOS E OBRAS
LTDA</t>
  </si>
  <si>
    <t>Enviado</t>
  </si>
  <si>
    <t xml:space="preserve">Enviados contratos, aguardando retorno da analise </t>
  </si>
  <si>
    <t>Enviados contratos recebidos, aguardando retorno</t>
  </si>
  <si>
    <t>Cadastro enviado 22/09/2026</t>
  </si>
  <si>
    <t>MMA BRAZIL COMERCIO DE ALIMENTOS LTDA</t>
  </si>
  <si>
    <t>Comitê</t>
  </si>
  <si>
    <t>Em comite de credito</t>
  </si>
  <si>
    <t>Aguardando documentação atualizada</t>
  </si>
  <si>
    <t>N DIDINI ENGENHARIA E CONSTRUCAO LTDA</t>
  </si>
  <si>
    <t xml:space="preserve">Esta sendo feito trabalho para melhora do risco, aguardando retorno da cintia </t>
  </si>
  <si>
    <t xml:space="preserve">Subir documentação </t>
  </si>
  <si>
    <t>HIPERAGRO COMERCIO DE GRÃO LTDA</t>
  </si>
  <si>
    <t>Op 1 - 1906,59 / Op 2 - 1794,50 / Op 3 - 2263 / Op 4 - 2.985,08 / Op 5 - 5000 Total a recebido R$ 13.949,17 / A receber R$ 5481,88</t>
  </si>
  <si>
    <t>INTEGRAL ALIMENTOS LTDA</t>
  </si>
  <si>
    <t xml:space="preserve">Feito reunião </t>
  </si>
  <si>
    <t>AGRICOLA RIZZI LTDA</t>
  </si>
  <si>
    <t>aguardando posição da documentação enviada</t>
  </si>
  <si>
    <t>⁠Consórcio</t>
  </si>
  <si>
    <t>COSTA AZUL INVESTIMENTOS</t>
  </si>
  <si>
    <t>Agendar reunião com fundo</t>
  </si>
  <si>
    <t>JARDEL</t>
  </si>
  <si>
    <t xml:space="preserve">Em analise com o guilherme sobre viabilidade da operação </t>
  </si>
  <si>
    <t>DAIANE</t>
  </si>
  <si>
    <t>Op para compre de kitnets, aguardando retorno do cliente</t>
  </si>
  <si>
    <t>Aprovação</t>
  </si>
  <si>
    <t>Op para compra de uma granja, aguardando retorno do cliente</t>
  </si>
  <si>
    <t>LEONARDO VIDIGAL</t>
  </si>
  <si>
    <t xml:space="preserve">Cliente não deu retorno sobre operação, aguardando retorno do indicador valdir </t>
  </si>
  <si>
    <t>INOVA TRADING COMERCIO DE GRAOS LTDA</t>
  </si>
  <si>
    <t>Aguardando envio de documentação</t>
  </si>
  <si>
    <t>ACREDITAR FIDC</t>
  </si>
  <si>
    <t>AGENCIA FUEGO</t>
  </si>
  <si>
    <t>Aguardando documentação</t>
  </si>
  <si>
    <t>ALX NEGOCIOS</t>
  </si>
  <si>
    <t>Feito reunião, aguardando documentação</t>
  </si>
  <si>
    <t>SEMENTES MARAMBAIA</t>
  </si>
  <si>
    <t>Captação</t>
  </si>
  <si>
    <t>FORTUNA AGRO LTDA</t>
  </si>
  <si>
    <t>⁠LOBE Contabilidade</t>
  </si>
  <si>
    <t>Aguardando documentação prevista para 22/09</t>
  </si>
  <si>
    <t>HAZA TOMATES</t>
  </si>
  <si>
    <t>RNX FIDIC</t>
  </si>
  <si>
    <t>Subir cadastro</t>
  </si>
  <si>
    <t>CONSTRUTORA SOBERANA LTDA</t>
  </si>
  <si>
    <t>Em captação</t>
  </si>
  <si>
    <t>MASTER FRIGURIFICO</t>
  </si>
  <si>
    <t>Aguardando documentação e assinatura do mandato</t>
  </si>
  <si>
    <t xml:space="preserve">ITEC </t>
  </si>
  <si>
    <t>⁠Consultoria</t>
  </si>
  <si>
    <t>PJC CONSULTORIA</t>
  </si>
  <si>
    <t>Aguardando documento para inciar analise (planilha de despesas)</t>
  </si>
  <si>
    <t>CGPM</t>
  </si>
  <si>
    <t xml:space="preserve">Aguardando pendencias apontas na analise </t>
  </si>
  <si>
    <t>ETS AGRO</t>
  </si>
  <si>
    <t xml:space="preserve">Aguardando documentação </t>
  </si>
  <si>
    <t>Encaminhado para verificar possibilidades</t>
  </si>
  <si>
    <t>RENOVAR</t>
  </si>
  <si>
    <t>ESTA SEM OPERAÇAO</t>
  </si>
  <si>
    <t>GRUPO MOMENTO</t>
  </si>
  <si>
    <t>SOMA ASSET</t>
  </si>
  <si>
    <t>TRAVOU OPERAÇAO</t>
  </si>
  <si>
    <t>CB AGRO</t>
  </si>
  <si>
    <t>ESTA OPERANDO POUCO</t>
  </si>
  <si>
    <t>JOAO MARTINS</t>
  </si>
  <si>
    <t>AGUARD DOC PENDENTE</t>
  </si>
  <si>
    <t xml:space="preserve">MS MONTAGENS </t>
  </si>
  <si>
    <t>ESTAMOS EM TRATATIVAS</t>
  </si>
  <si>
    <t>REI DO PAPELAO</t>
  </si>
  <si>
    <t>Pré-análise</t>
  </si>
  <si>
    <t>AGUARD DOC PEN/ ABERTURA LIMITE/ ATRASO AFFIX</t>
  </si>
  <si>
    <t>AGROPECURIA ESTANCIA</t>
  </si>
  <si>
    <t>Aguardando retorno</t>
  </si>
  <si>
    <t>DIFICIL COMUNICAÇAO</t>
  </si>
  <si>
    <t>ROTEC</t>
  </si>
  <si>
    <t>MARCANDO REUNIAO CALL</t>
  </si>
  <si>
    <t>TOTAL TEXTIL</t>
  </si>
  <si>
    <t>AGUARDANDO DOCUMENTAÇAO</t>
  </si>
  <si>
    <t>INNOVA BRAZIL</t>
  </si>
  <si>
    <t>CERTIDAO SIMPLIFICADA</t>
  </si>
  <si>
    <t>NATIVA AGRICOLA</t>
  </si>
  <si>
    <t xml:space="preserve">   Cobrança</t>
  </si>
  <si>
    <t>Assinatura de Contrato</t>
  </si>
  <si>
    <t>NAO MANDA A CARTEIRA PARA COBRANÇAS</t>
  </si>
  <si>
    <t>BELA AGRO</t>
  </si>
  <si>
    <t>COMPRA DE DIVIDA</t>
  </si>
  <si>
    <t xml:space="preserve">PRAT -K </t>
  </si>
  <si>
    <t>CALL APOS DIA 23/09</t>
  </si>
  <si>
    <t xml:space="preserve">BENINI INDUSTRIA </t>
  </si>
  <si>
    <t>JPI FIDC</t>
  </si>
  <si>
    <t>THP INDUSTRIA</t>
  </si>
  <si>
    <t>REUNIAO MARCADA SEGUNDA FEIRA</t>
  </si>
  <si>
    <t>ORGANIZANDO DATA PARA REUNIAO</t>
  </si>
  <si>
    <t>FRIGORIFICO CHESINI</t>
  </si>
  <si>
    <t>REUNIAO PROXIMO MES</t>
  </si>
  <si>
    <t>ACRILYS TECNOLOGIA</t>
  </si>
  <si>
    <t>AIRSIDE</t>
  </si>
  <si>
    <t>MARCANDO REUNIAO</t>
  </si>
  <si>
    <t>BAP IMPORTS</t>
  </si>
  <si>
    <t>REUNIAOSEXTA PRESENCIAL 09:00 HRS</t>
  </si>
  <si>
    <t>CASHME</t>
  </si>
  <si>
    <t>FRIGOGYN</t>
  </si>
  <si>
    <t>TRUST CAPITAL</t>
  </si>
  <si>
    <t>AGUARDANDO PLATAFORMA</t>
  </si>
  <si>
    <t>LABARCA</t>
  </si>
  <si>
    <t>PRIMEIRO CONTATO</t>
  </si>
  <si>
    <t>RAPIDO IGREJINHA</t>
  </si>
  <si>
    <t>PARABONI FERRAMENTAS</t>
  </si>
  <si>
    <t>LUKMAM - 38.249.690/0001-90</t>
  </si>
  <si>
    <t>Reprovado</t>
  </si>
  <si>
    <t>Outro (detalhar na observação)</t>
  </si>
  <si>
    <t>Não possui documentação</t>
  </si>
  <si>
    <t>NUTRIMAX - 53.039.803/0001-16</t>
  </si>
  <si>
    <t>FALTANDO DOCUMENTO - RAFAEL</t>
  </si>
  <si>
    <t>GUILHERME - 37.752.853/0001-90</t>
  </si>
  <si>
    <t xml:space="preserve">   Astrum Finance</t>
  </si>
  <si>
    <t>FALTANDO DOCUMENTO - POLIANA ASTRUM</t>
  </si>
  <si>
    <t>BARRIERE - 51.544.166/0001-00</t>
  </si>
  <si>
    <t>AGUARDANDO ALFREDO</t>
  </si>
  <si>
    <t>RIBEIRO - 24.467.220/0001-98</t>
  </si>
  <si>
    <t>AGUARDANDO REUNIAO</t>
  </si>
  <si>
    <t>PLUMEY - 01.326.832/0001-65</t>
  </si>
  <si>
    <t>ALBIERE TRANSPORTES - ALFA</t>
  </si>
  <si>
    <t>Finalizado</t>
  </si>
  <si>
    <t>AGUARDANDO PROPOSTA</t>
  </si>
  <si>
    <t>DALBIERE TRANSPORTES - ALFA</t>
  </si>
  <si>
    <t>PARQUE ENGENHARIA</t>
  </si>
  <si>
    <t>GOIAS BANK</t>
  </si>
  <si>
    <t>JÁ ESTA OPERANDO</t>
  </si>
  <si>
    <t>AGUARDANDO LIMPAR O NOME</t>
  </si>
  <si>
    <t>LAP COSMETICOS</t>
  </si>
  <si>
    <t>AGUARDANDO DOCUMENTOS</t>
  </si>
  <si>
    <t>SAFRA BRASIL 34.984.590/0001-56</t>
  </si>
  <si>
    <t>SAFRA BRASIL 34.984.590/0002-37</t>
  </si>
  <si>
    <t>SAFRA BRASIL 05.052.142/0001-16</t>
  </si>
  <si>
    <t>CMX COMERCIO 52.961.756/0001-09</t>
  </si>
  <si>
    <t>MS COMPRA E VENDA 53.241.901/0001-31</t>
  </si>
  <si>
    <t xml:space="preserve">Sandro </t>
  </si>
  <si>
    <t>PS FINANCE</t>
  </si>
  <si>
    <t>AGRONORTE - 30.480.055/0001-07</t>
  </si>
  <si>
    <t>PRIME SERVIÇOS - 40.905.651/0001-45</t>
  </si>
  <si>
    <t>BIOCRIM - 58.352.399/0001-50</t>
  </si>
  <si>
    <t>PACIFICO COMERCIAL DE ALIMENTOS E PRODUTOS DE LIMPEZA LTDA</t>
  </si>
  <si>
    <t>Sandro</t>
  </si>
  <si>
    <t>C2C COMÉRCIO DE ALIMENTOS LTDA</t>
  </si>
  <si>
    <t>CABRAL CICLA COMERCIO VAREJISTA DE MATERIAIS DE CONSTRUÇÃO LTDA</t>
  </si>
  <si>
    <t>TIO PNEUS COMERCIO VAREJISTA - 50.152.219/0001-84</t>
  </si>
  <si>
    <t>Walber</t>
  </si>
  <si>
    <t>SERGIO GONCALVES DE OLIVEIRA</t>
  </si>
  <si>
    <t>⁠PS Finance</t>
  </si>
  <si>
    <t>LINDOMAR DA COSTA LIMA</t>
  </si>
  <si>
    <t>⁠Home Equity</t>
  </si>
  <si>
    <t>Aguardando documentos</t>
  </si>
  <si>
    <t>JOTAAGRO PRODUCOES E COMERCIALIZACOES AGRICOLAS LTDA</t>
  </si>
  <si>
    <t>Custeio</t>
  </si>
  <si>
    <t>já passou em comitê e aguardando visita tecnica</t>
  </si>
  <si>
    <t>doc. com Guilherme - op. agro</t>
  </si>
  <si>
    <t>GILMAR AUGUSTO GOMES</t>
  </si>
  <si>
    <t>PARÂMETROS — LISTAS OFICIAIS</t>
  </si>
  <si>
    <t>As abas dos gerentes puxam daqui. Para incluir um item, escreva na primeira linha vazia da coluna: a lista suspensa reconhece sozinha.</t>
  </si>
  <si>
    <t>Itens com * ainda precisam de confirmação (nome ou existência). Não apague item já usado: troque a Situação para Inativo.</t>
  </si>
  <si>
    <t>PARCEIRO (INSTITUIÇÃO)</t>
  </si>
  <si>
    <t>Situação</t>
  </si>
  <si>
    <t>GERENTE</t>
  </si>
  <si>
    <t>TIPO DE OPERAÇÃO</t>
  </si>
  <si>
    <t>ORIGEM</t>
  </si>
  <si>
    <t>Ativo</t>
  </si>
  <si>
    <t>⁠André Pullig</t>
  </si>
  <si>
    <t>Restrição cadastral (Serasa / protesto)</t>
  </si>
  <si>
    <t>⁠Betania Ribeiro</t>
  </si>
  <si>
    <t>Faturamento insuficiente</t>
  </si>
  <si>
    <t>⁠João Pullig</t>
  </si>
  <si>
    <t>⁠Pro-Soluto</t>
  </si>
  <si>
    <t>Garantia insuficiente</t>
  </si>
  <si>
    <t>ALIA CAPITAL</t>
  </si>
  <si>
    <t>Kaio Dias</t>
  </si>
  <si>
    <t>⁠Alia Capital</t>
  </si>
  <si>
    <t>Documentação incompleta</t>
  </si>
  <si>
    <t>⁠Pablo Ruan</t>
  </si>
  <si>
    <t>Fora do perfil da instituição</t>
  </si>
  <si>
    <t>APX Finance</t>
  </si>
  <si>
    <t>⁠Rafael Nedino</t>
  </si>
  <si>
    <t>⁠Integra Negócios</t>
  </si>
  <si>
    <t>AR3 CAPITAL</t>
  </si>
  <si>
    <t>ASTRUM FINANCEIRA</t>
  </si>
  <si>
    <t>⁠CRA</t>
  </si>
  <si>
    <t>⁠LA Advogados</t>
  </si>
  <si>
    <t>BANCO BCG</t>
  </si>
  <si>
    <t>⁠CRI</t>
  </si>
  <si>
    <t>BANCO BMG</t>
  </si>
  <si>
    <t>⁠CPR-F</t>
  </si>
  <si>
    <t>BANCO BS2</t>
  </si>
  <si>
    <t>⁠Cambio</t>
  </si>
  <si>
    <t>⁠Valor Investimentos</t>
  </si>
  <si>
    <t>BANCO BSB</t>
  </si>
  <si>
    <t>⁠Antecipação de Contrato</t>
  </si>
  <si>
    <t>BANCO BTG</t>
  </si>
  <si>
    <t xml:space="preserve">⁠Seguro </t>
  </si>
  <si>
    <t>Diamond</t>
  </si>
  <si>
    <t>BANCO BV</t>
  </si>
  <si>
    <t>⁠Limpa Nome</t>
  </si>
  <si>
    <t>BANCO C6</t>
  </si>
  <si>
    <t>⁠Antecipação SUS</t>
  </si>
  <si>
    <t>BANCO CNH</t>
  </si>
  <si>
    <t>⁠Valuation</t>
  </si>
  <si>
    <t>BANCO DA AMAZONIA</t>
  </si>
  <si>
    <t>⁠Reformulação Contábil</t>
  </si>
  <si>
    <t>BANCO DO BRASIL</t>
  </si>
  <si>
    <t xml:space="preserve">⁠Financiamento de Máquinas </t>
  </si>
  <si>
    <t>BANCO DO NORDESTE</t>
  </si>
  <si>
    <t>⁠Financiamento de Veículos</t>
  </si>
  <si>
    <t>BANCO INTER</t>
  </si>
  <si>
    <t>⁠Financiamento de Imóvel</t>
  </si>
  <si>
    <t>BANCO ORIGINAL</t>
  </si>
  <si>
    <t>⁠FCO</t>
  </si>
  <si>
    <t>BANCO SAFRA</t>
  </si>
  <si>
    <t>⁠BNDES</t>
  </si>
  <si>
    <t>BANCO SOFISA</t>
  </si>
  <si>
    <t xml:space="preserve">⁠Auto Equity </t>
  </si>
  <si>
    <t>BANRISUL</t>
  </si>
  <si>
    <t>⁠Plano de Saúde</t>
  </si>
  <si>
    <t>BLUE SCORE</t>
  </si>
  <si>
    <t>⁠ACC</t>
  </si>
  <si>
    <t>BOCON</t>
  </si>
  <si>
    <t>⁠ACE</t>
  </si>
  <si>
    <t>BRADESCO</t>
  </si>
  <si>
    <t xml:space="preserve">⁠Reformulação Tributária </t>
  </si>
  <si>
    <t>CAIXA</t>
  </si>
  <si>
    <t>CERES FIDC</t>
  </si>
  <si>
    <t>CITIBANK</t>
  </si>
  <si>
    <t>Pronaf</t>
  </si>
  <si>
    <t>DAVOS FIDC</t>
  </si>
  <si>
    <t xml:space="preserve">Investimento </t>
  </si>
  <si>
    <t>DAYCOVAL</t>
  </si>
  <si>
    <t>DMX CAPITAL</t>
  </si>
  <si>
    <t>FIRMA CAPITAL</t>
  </si>
  <si>
    <t>GUARA SECURITIZADORA</t>
  </si>
  <si>
    <t>GUPRO SIFRA</t>
  </si>
  <si>
    <t>INTRABANK</t>
  </si>
  <si>
    <t>ITAU</t>
  </si>
  <si>
    <t>ITAU BBA</t>
  </si>
  <si>
    <t>MADCAP</t>
  </si>
  <si>
    <t>MAFEK BG BANK</t>
  </si>
  <si>
    <t>MB FINANCE</t>
  </si>
  <si>
    <t>MONEY CORP</t>
  </si>
  <si>
    <t>RABOBANK INTERNACIONAL</t>
  </si>
  <si>
    <t>RED ASSET</t>
  </si>
  <si>
    <t>SALVADOR SECURITIZADORA</t>
  </si>
  <si>
    <t>SANTANDER</t>
  </si>
  <si>
    <t>SARFATY ASSET</t>
  </si>
  <si>
    <t>SICREDI</t>
  </si>
  <si>
    <t>SMART CAPITAL</t>
  </si>
  <si>
    <t>SP CAPITAL</t>
  </si>
  <si>
    <t>SRM FIDC</t>
  </si>
  <si>
    <t>TAIPA FIDC</t>
  </si>
  <si>
    <t>TC SECURITIZADORA</t>
  </si>
  <si>
    <t>TRIESTOR</t>
  </si>
  <si>
    <t>VALOR INVESTIMENTOS</t>
  </si>
  <si>
    <t>XP INVESTIMENTOS</t>
  </si>
  <si>
    <t>BUGREE SECURITIZADORA</t>
  </si>
  <si>
    <t>FRANK NEGOCIOS</t>
  </si>
  <si>
    <t>DANBAR NEGOCIOS</t>
  </si>
  <si>
    <t>LCL INVEST</t>
  </si>
  <si>
    <t>MARINO INVEST</t>
  </si>
  <si>
    <t>DASHBOARD — VISÃO GERAL</t>
  </si>
  <si>
    <t>Consolidado das abas dos gerentes. Tudo se atualiza sozinho ao preencher as operações — não há botão a apertar.</t>
  </si>
  <si>
    <t>RESUMO GERAL</t>
  </si>
  <si>
    <t>Operações ativas</t>
  </si>
  <si>
    <t>Em negociação</t>
  </si>
  <si>
    <t>Volume aprovado</t>
  </si>
  <si>
    <t>Receita aprovada</t>
  </si>
  <si>
    <t>POR GERENTE</t>
  </si>
  <si>
    <t>Gerente</t>
  </si>
  <si>
    <t>Operações</t>
  </si>
  <si>
    <t>Sem valor</t>
  </si>
  <si>
    <t>% da receita</t>
  </si>
  <si>
    <t>André Pullig</t>
  </si>
  <si>
    <t>Betania Ribeiro</t>
  </si>
  <si>
    <t>João Pullig</t>
  </si>
  <si>
    <t>Pablo Ruan</t>
  </si>
  <si>
    <t>Rafael Nedino</t>
  </si>
  <si>
    <t>TOTAL</t>
  </si>
  <si>
    <t>SITUAÇÃO DAS OPERAÇÕES</t>
  </si>
  <si>
    <t>Status</t>
  </si>
  <si>
    <t>Volume</t>
  </si>
  <si>
    <t>% do volume</t>
  </si>
  <si>
    <t>POR TIPO DE OPERAÇÃO</t>
  </si>
  <si>
    <t>Tipo de operação</t>
  </si>
  <si>
    <t>Pró-soluto</t>
  </si>
  <si>
    <t>Antecipação de Recebíveis</t>
  </si>
  <si>
    <t>Crédito Rural</t>
  </si>
  <si>
    <t>Consórcio</t>
  </si>
  <si>
    <t>Venda de Ativos</t>
  </si>
  <si>
    <t>FGI</t>
  </si>
  <si>
    <t>Serviço Cadastral</t>
  </si>
  <si>
    <t>Venda de Colégio</t>
  </si>
  <si>
    <t>Conta / Maquininha</t>
  </si>
  <si>
    <t>Câmbio</t>
  </si>
  <si>
    <t>Operação Estruturada</t>
  </si>
  <si>
    <t>CONSULTA POR INSTITUIÇÃO</t>
  </si>
  <si>
    <t>Escolha a instituição:</t>
  </si>
  <si>
    <t>← troque para consultar outra</t>
  </si>
  <si>
    <t>• Não escreva nada nesta aba: tudo aqui é fórmula. Para mudar um número, corrija a operação na aba do gerente.</t>
  </si>
  <si>
    <t>• "Em negociação" = tudo que não está Aprovado nem Reprovado e tem status preenchido. Cada linha conta como uma operação.</t>
  </si>
  <si>
    <t>• Reprovados ficam na aba HISTÓRICO e por isso não aparecem aqui.</t>
  </si>
  <si>
    <t>• Receita só existe onde o Fee está preenchido — sem fee, a operação entra no volume mas não na receita.</t>
  </si>
  <si>
    <t>• "Sem valor" em vermelho: operações lançadas sem o campo Valor. Elas não entram em nenhum total — preencha o valor na aba do gerente para elas aparecerem.</t>
  </si>
  <si>
    <t>METAS E REALIZADO — RECEITA POR GERENTE</t>
  </si>
  <si>
    <t>Receita da PJC, não volume operado. Preencha só a linha META: o realizado vem sozinho das operações — status Aprovado até junho/2026 e status Finalizado de julho/2026 em diante, somando a aba de cada gerente e a aba HISTÓRICO.</t>
  </si>
  <si>
    <t>Ano base:</t>
  </si>
  <si>
    <t>← troque aqui para ver outro ano</t>
  </si>
  <si>
    <t>Finalizado a partir de:</t>
  </si>
  <si>
    <t>← desta data em diante o Realizado conta status Finalizado; antes dela, Aprovado</t>
  </si>
  <si>
    <t>GERENTE / LINHA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</si>
  <si>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</si>
  <si>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</si>
  <si>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</si>
  <si>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</si>
  <si>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</si>
  <si>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</si>
  <si>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</si>
  <si>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</si>
  <si>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</si>
  <si>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</si>
  <si>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</si>
  <si>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</si>
  <si>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 ANO</t>
  </si>
  <si>
    <t>SITUAÇÃO</t>
  </si>
  <si>
    <t>SEM DATA DE FECHAMENTO</t>
  </si>
  <si>
    <t>ANDRÉ PULLIG</t>
  </si>
  <si>
    <t>Meta</t>
  </si>
  <si>
    <t>Realizado</t>
  </si>
  <si>
    <t>% atingido</t>
  </si>
  <si>
    <t>BETANIA RIBEIRO</t>
  </si>
  <si>
    <t>JOÃO PULLIG</t>
  </si>
  <si>
    <t>KAIO DIAS</t>
  </si>
  <si>
    <t>PABLO RUAN</t>
  </si>
  <si>
    <t>RAFAEL NEDINO</t>
  </si>
  <si>
    <t>TOTAL PJC — Meta</t>
  </si>
  <si>
    <t>TOTAL PJC — Realizado</t>
  </si>
  <si>
    <t>Como funciona</t>
  </si>
  <si>
    <t>• META (fundo azul) é o único campo digitado. Preencha em azul quem ainda não tem meta.</t>
  </si>
  <si>
    <t>• REALIZADO (fundo verde) é fórmula: soma a Receita pelo mês da coluna DATA FECHAMENTO. Até junho/2026 conta só o status Aprovado da aba do gerente. De julho/2026 em diante conta o status Finalizado, na aba do gerente e também na aba HISTÓRICO. Não escreva nessas células.</t>
  </si>
  <si>
    <t>• Marcou uma operação como Finalizado? O realizado do mês muda na hora.</t>
  </si>
  <si>
    <t>• SEM DATA DE FECHAMENTO mostra receita Aprovada ou Finalizada sem data preenchida, na aba do gerente e no HISTÓRICO — ela não entra em mês nenhum. Se aparecer valor aí, preencha a DATA FECHAMENTO.</t>
  </si>
  <si>
    <t>• Verde = na meta · Amarelo = 70% a 99% · Vermelho = abaixo de 70%.</t>
  </si>
  <si>
    <t>• Reprovados continuam fora do realizado: do HISTÓRICO só entram as linhas com status Finalizado.</t>
  </si>
  <si>
    <t>• KAIO DIAS (janeiro a junho) e PABLO RUAN (janeiro a julho) têm o realizado digitado à mão, vindo do controle anterior. Essas células não são fórmula — não apague.</t>
  </si>
  <si>
    <t>HISTÓRICO CONSOLIDADO</t>
  </si>
  <si>
    <t>Operações reprovadas e as vindas das abas antigas (KAIO1 e PABLO), de todos os gerentes. A coluna GERENTE indica de quem é cada linha.</t>
  </si>
  <si>
    <t>Score baixo</t>
  </si>
  <si>
    <t>TECOL-TECNOLOGIA, ENGENHARIA E CONSTRUCAO LTDA</t>
  </si>
  <si>
    <t>Contratos publicos</t>
  </si>
  <si>
    <t>FILLIPE DANESI DE CARVALHO SILVA</t>
  </si>
  <si>
    <t>Desistencia por parte do cliente</t>
  </si>
  <si>
    <t>AJF - 05.460.040/0001-90</t>
  </si>
  <si>
    <t>Parceiro Aleixo já atendeu a empresa e ñ é boa</t>
  </si>
  <si>
    <t>TRIMETAL</t>
  </si>
  <si>
    <t>REUNIAO FEITA</t>
  </si>
  <si>
    <t>FOX PARTICIPACOES E INVESTIMENTOS S.A.</t>
  </si>
  <si>
    <t xml:space="preserve">Restrições com fundo </t>
  </si>
  <si>
    <t>Oscar</t>
  </si>
  <si>
    <t>Sem rotorno do parceiro</t>
  </si>
  <si>
    <t>RODOJUNIOR TRANSPORTES</t>
  </si>
  <si>
    <t>Operação paga</t>
  </si>
  <si>
    <t>TALENTUS ESQUADRIAS LTDA</t>
  </si>
  <si>
    <t>PJC</t>
  </si>
  <si>
    <t xml:space="preserve">Desistencia por parte do cliente </t>
  </si>
  <si>
    <t>Ja são clientes</t>
  </si>
  <si>
    <t xml:space="preserve">Inicio de RJ </t>
  </si>
  <si>
    <t>LOFT CONSTRUTORA</t>
  </si>
  <si>
    <t xml:space="preserve">Finalizado </t>
  </si>
  <si>
    <t>PAGAMENTO ESTÁ SENDO FEITO DIA 15/08</t>
  </si>
  <si>
    <t>ULTRAMAX - 51.651.478/0001-12</t>
  </si>
  <si>
    <t>OPEROU COM PROMOTOR</t>
  </si>
  <si>
    <t>DECLINADO</t>
  </si>
  <si>
    <t>SÓ OPERA PESSOA FISICA</t>
  </si>
  <si>
    <t>A.WAI - 05.946.250/0001-32</t>
  </si>
  <si>
    <t xml:space="preserve">CLIENTE DECLINOU </t>
  </si>
  <si>
    <t>NÃO QUIS COMPLETAR A DOCUMENTAÇÃO</t>
  </si>
  <si>
    <t>Parceiro não atua com modelo de operação</t>
  </si>
  <si>
    <t>Não tivemos detalhamento</t>
  </si>
  <si>
    <t>Solicitado FGI na CEF, Paula recusou por não conhecer empresa</t>
  </si>
  <si>
    <t xml:space="preserve">PHOSBOI </t>
  </si>
  <si>
    <t>Reprovado pelo parceiro Daycoval</t>
  </si>
  <si>
    <t>Op 1 - R$ 12159,00 / Op 2 - R$ 2250,00</t>
  </si>
  <si>
    <t>JULIO CESAR - 14.768.649/0001-61</t>
  </si>
  <si>
    <t>LEOMAM - 51.223.372/0001-18</t>
  </si>
  <si>
    <t>⁠  VM Consultoria</t>
  </si>
  <si>
    <t>Aguardando registro no cartório</t>
  </si>
  <si>
    <t>Troca de segmento e baixa movimentaçao financeira</t>
  </si>
  <si>
    <t>RURAL CRIA INDUSTRIA E COMERCIO DE RACAO LTDA</t>
  </si>
  <si>
    <t>Sem interesse comercial da PJC</t>
  </si>
  <si>
    <t>Reprovado na analise, fundo não passou o motivo</t>
  </si>
  <si>
    <t>DAM ESTETICA AVANCADA LTDA</t>
  </si>
  <si>
    <t>Cliente não nos da retorno</t>
  </si>
  <si>
    <t>Desistencia do cooperado referente ao valor aprovado</t>
  </si>
  <si>
    <t>TECOL ENGENHARIA E TECNOLOGIA</t>
  </si>
  <si>
    <t>REUNIAO PRESENCIAL 13/08</t>
  </si>
  <si>
    <t>MEDFARMA COMERCIO DE MEDICAMENTOS</t>
  </si>
  <si>
    <t>Aguardando validação da Cintia</t>
  </si>
  <si>
    <t>AM TRANSP - 45.838.247/0001-10</t>
  </si>
  <si>
    <t>ABSOLUTA - 34.773.909/0001-02</t>
  </si>
  <si>
    <t xml:space="preserve">A E B INDÚSTRIA DE ALIMENTOS LTDA
</t>
  </si>
  <si>
    <t>Cliente achou Fee caro baixamos para 2% e sem retorno</t>
  </si>
  <si>
    <t>Sem possibilidades</t>
  </si>
  <si>
    <t>Havia encaminhado para tentativa de FGI na CEF, Paula não demonstrou interesse</t>
  </si>
  <si>
    <t xml:space="preserve">Declinado devido falta de pagamento de outras operações </t>
  </si>
  <si>
    <t>Reprovado devido a penhor de grãos na matricula, não aceito pelo fundo</t>
  </si>
  <si>
    <t>TAXA ALTA NAO OPERA</t>
  </si>
  <si>
    <t>COMO USAR ESTA PLANILHA</t>
  </si>
  <si>
    <t>Preenchendo uma operação</t>
  </si>
  <si>
    <t>Cada linha é uma operação. Os campos Operação, Mandato, Instituição, Parceiro Indicador, Fluxo, Status e Motivo de Recusa são de escolha: clique na célula e use a seta. Digitar por fora é bloqueado — é isso que mantém os nomes padronizados.</t>
  </si>
  <si>
    <t>Receita não se digita</t>
  </si>
  <si>
    <t>A coluna Receita é calculada: Valor × Fee. Preencha o Fee como porcentagem (2,5%) e a receita aparece sozinha.</t>
  </si>
  <si>
    <t>Mesma operação em vários bancos</t>
  </si>
  <si>
    <t>Lance uma linha por banco. Cada linha conta como uma operação — foi a regra que definimos para o painel.</t>
  </si>
  <si>
    <t>Operação reprovada</t>
  </si>
  <si>
    <t>Marque o Status como Reprovado e preencha o Motivo de Recusa. Na virada, essas linhas são levadas para a aba HISTÓRICO, que junta os reprovados de todos os gerentes.</t>
  </si>
  <si>
    <t>Incluir um parceiro ou tipo novo</t>
  </si>
  <si>
    <t>Vá na aba PARAMETROS e escreva na primeira linha vazia da coluna. A lista passa a oferecer o item na hora, em todas as abas.</t>
  </si>
  <si>
    <t>Itens marcados com *</t>
  </si>
  <si>
    <t>Ficam no fim das listas e estão pendentes de confirmação: FIRMA CAPITAL*, DAVOS FIDC*, RNX FIDIC* e BANCO BCG*. Confirmado o nome, é só tirar o asterisco na aba PARAMETROS.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</si>
</sst>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R\$\ #,##0"/>
    <numFmt numFmtId="165" formatCode="\R\$\ #,##0;;&quot;&quot;"/>
    <numFmt numFmtId="166" formatCode="#,##0;;&quot;-&quot;"/>
    <numFmt numFmtId="167" formatCode="0.0%"/>
    <numFmt numFmtId="168" formatCode="\R\$\ #,##0.00"/>
  </numFmts>
  <fonts count="33">
    <font>
      <sz val="11"/>
      <color theme="1"/>
      <name val="Calibri"/>
      <family val="2"/>
      <scheme val="minor"/>
    </font>
    <font>
      <b/>
      <sz val="14"/>
      <color rgb="FFC9A24B"/>
      <name val="Arial"/>
    </font>
    <font>
      <i/>
      <sz val="9"/>
      <color rgb="FF5A6675"/>
      <name val="Arial"/>
    </font>
    <font>
      <i/>
      <sz val="9"/>
      <color rgb="FF9A3412"/>
      <name val="Arial"/>
    </font>
    <font>
      <b/>
      <sz val="10"/>
      <color rgb="FFFFFFFF"/>
      <name val="Arial"/>
    </font>
    <font>
      <sz val="10"/>
      <color rgb="FF000000"/>
      <name val="Arial"/>
    </font>
    <font>
      <sz val="10"/>
      <name val="Arial"/>
    </font>
    <font>
      <sz val="10"/>
      <color rgb="FF9A3412"/>
      <name val="Arial"/>
    </font>
    <font>
      <b/>
      <sz val="10"/>
      <color rgb="FF1F3247"/>
      <name val="Arial"/>
    </font>
    <font>
      <b/>
      <sz val="11"/>
      <color rgb="FF0000FF"/>
      <name val="Arial"/>
    </font>
    <font>
      <i/>
      <sz val="9"/>
      <color rgb="FF8A6D1F"/>
      <name val="Arial"/>
    </font>
    <font>
      <b/>
      <sz val="9"/>
      <color rgb="FFFFFFFF"/>
      <name val="Arial"/>
    </font>
    <font>
      <sz val="10"/>
      <color rgb="FF0000FF"/>
      <name val="Arial"/>
    </font>
    <font>
      <b/>
      <sz val="10"/>
      <name val="Arial"/>
    </font>
    <font>
      <sz val="10"/>
      <color rgb="FF1F3247"/>
      <name val="Arial"/>
    </font>
    <font>
      <sz val="10"/>
      <color rgb="FF006100"/>
      <name val="Arial"/>
    </font>
    <font>
      <b/>
      <sz val="10"/>
      <color rgb="FF006100"/>
      <name val="Arial"/>
    </font>
    <font>
      <sz val="9"/>
      <name val="Arial"/>
    </font>
    <font>
      <i/>
      <sz val="9"/>
      <name val="Arial"/>
    </font>
    <font>
      <b/>
      <sz val="10"/>
      <color rgb="FFC9A24B"/>
      <name val="Arial"/>
    </font>
    <font>
      <sz val="9"/>
      <color rgb="FF5A6675"/>
      <name val="Arial"/>
    </font>
    <font>
      <b/>
      <sz val="16"/>
      <color rgb="FFC9A24B"/>
      <name val="Arial"/>
    </font>
    <font>
      <b/>
      <sz val="11"/>
      <color rgb="FFC9A24B"/>
      <name val="Arial"/>
    </font>
    <font>
      <b/>
      <sz val="14"/>
      <color rgb="FF0E1B27"/>
      <name val="Arial"/>
    </font>
    <font>
      <sz val="10"/>
      <color rgb="FF5A6675"/>
      <name val="Arial"/>
    </font>
    <font>
      <b/>
      <sz val="13"/>
      <color rgb="FF0E1B27"/>
      <name val="Arial"/>
    </font>
    <font>
      <b/>
      <sz val="11"/>
      <color rgb="FF0A1017"/>
      <name val="Arial"/>
    </font>
    <font>
      <sz val="10"/>
      <color rgb="FF333333"/>
      <name val="Arial"/>
    </font>
    <font>
      <sz val="10"/>
      <color rgb="FF00B050"/>
      <name val="Arial"/>
    </font>
    <font>
      <sz val="10"/>
      <color theme="4"/>
      <name val="Arial"/>
    </font>
    <font>
      <sz val="10"/>
      <color theme="4" tint="-0.249977111117893"/>
      <name val="Arial"/>
    </font>
    <font>
      <sz val="10"/>
      <color rgb="FFFF0000"/>
      <name val="Arial"/>
    </font>
    <font>
      <sz val="10"/>
      <color theme="3" tint="0.39997558519241921"/>
      <name val="Arial"/>
    </font>
  </fonts>
  <fills count="12">
    <fill>
      <patternFill patternType="none"/>
    </fill>
    <fill>
      <patternFill patternType="gray125"/>
    </fill>
    <fill>
      <patternFill patternType="solid">
        <fgColor rgb="FF17293B"/>
      </patternFill>
    </fill>
    <fill>
      <patternFill patternType="solid">
        <fgColor rgb="FFF2F4F7"/>
      </patternFill>
    </fill>
    <fill>
      <patternFill patternType="solid">
        <fgColor rgb="FFFFF7DC"/>
      </patternFill>
    </fill>
    <fill>
      <patternFill patternType="solid">
        <fgColor rgb="FF2C4459"/>
      </patternFill>
    </fill>
    <fill>
      <patternFill patternType="solid">
        <fgColor rgb="FFE8EDF3"/>
      </patternFill>
    </fill>
    <fill>
      <patternFill patternType="solid">
        <fgColor rgb="FFEAF3EC"/>
      </patternFill>
    </fill>
    <fill>
      <patternFill patternType="solid">
        <fgColor rgb="FF0C1B35"/>
        <bgColor indexed="64"/>
      </patternFill>
    </fill>
    <fill>
      <patternFill patternType="solid">
        <fgColor rgb="FF0C1B3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D5DBE3"/>
      </left>
      <right style="thin">
        <color rgb="FFD5DBE3"/>
      </right>
      <top style="thin">
        <color rgb="FFD5DBE3"/>
      </top>
      <bottom style="thin">
        <color rgb="FFD5DBE3"/>
      </bottom>
      <diagonal/>
    </border>
    <border>
      <left/>
      <right style="thin">
        <color rgb="FFD5DBE3"/>
      </right>
      <top style="thin">
        <color rgb="FFD5DBE3"/>
      </top>
      <bottom style="thin">
        <color rgb="FFD5DBE3"/>
      </bottom>
      <diagonal/>
    </border>
  </borders>
  <cellStyleXfs count="1">
    <xf numFmtId="0" fontId="0" fillId="0" borderId="0"/>
  </cellStyleXfs>
  <cellXfs count="13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left" vertical="center" indent="1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 indent="1"/>
    </xf>
    <xf numFmtId="0" fontId="6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 indent="1"/>
    </xf>
    <xf numFmtId="0" fontId="6" fillId="3" borderId="1" xfId="0" applyFont="1" applyFill="1" applyBorder="1" applyAlignment="1">
      <alignment horizontal="center" vertical="center"/>
    </xf>
    <xf numFmtId="0" fontId="21" fillId="0" borderId="0" xfId="0" applyFont="1"/>
    <xf numFmtId="0" fontId="22" fillId="2" borderId="1" xfId="0" applyFont="1" applyFill="1" applyBorder="1" applyAlignment="1">
      <alignment horizontal="left" vertical="center" indent="1"/>
    </xf>
    <xf numFmtId="0" fontId="0" fillId="2" borderId="1" xfId="0" applyFill="1" applyBorder="1"/>
    <xf numFmtId="0" fontId="11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indent="1"/>
    </xf>
    <xf numFmtId="3" fontId="6" fillId="0" borderId="1" xfId="0" applyNumberFormat="1" applyFont="1" applyBorder="1" applyAlignment="1">
      <alignment horizontal="right" vertical="center"/>
    </xf>
    <xf numFmtId="166" fontId="6" fillId="0" borderId="1" xfId="0" applyNumberFormat="1" applyFont="1" applyBorder="1" applyAlignment="1">
      <alignment horizontal="right" vertical="center"/>
    </xf>
    <xf numFmtId="164" fontId="6" fillId="0" borderId="1" xfId="0" applyNumberFormat="1" applyFont="1" applyBorder="1" applyAlignment="1">
      <alignment horizontal="right" vertical="center"/>
    </xf>
    <xf numFmtId="167" fontId="24" fillId="0" borderId="1" xfId="0" applyNumberFormat="1" applyFont="1" applyBorder="1" applyAlignment="1">
      <alignment horizontal="right" vertical="center"/>
    </xf>
    <xf numFmtId="0" fontId="4" fillId="2" borderId="1" xfId="0" applyFont="1" applyFill="1" applyBorder="1" applyAlignment="1">
      <alignment vertical="center" indent="1"/>
    </xf>
    <xf numFmtId="3" fontId="4" fillId="2" borderId="1" xfId="0" applyNumberFormat="1" applyFont="1" applyFill="1" applyBorder="1" applyAlignment="1">
      <alignment horizontal="right" vertical="center"/>
    </xf>
    <xf numFmtId="164" fontId="4" fillId="2" borderId="1" xfId="0" applyNumberFormat="1" applyFont="1" applyFill="1" applyBorder="1" applyAlignment="1">
      <alignment horizontal="right" vertical="center"/>
    </xf>
    <xf numFmtId="167" fontId="4" fillId="2" borderId="1" xfId="0" applyNumberFormat="1" applyFont="1" applyFill="1" applyBorder="1" applyAlignment="1">
      <alignment horizontal="right" vertical="center"/>
    </xf>
    <xf numFmtId="0" fontId="8" fillId="0" borderId="0" xfId="0" applyFont="1"/>
    <xf numFmtId="0" fontId="10" fillId="0" borderId="0" xfId="0" applyFont="1"/>
    <xf numFmtId="0" fontId="20" fillId="0" borderId="0" xfId="0" applyFont="1"/>
    <xf numFmtId="0" fontId="8" fillId="0" borderId="0" xfId="0" applyFont="1" applyAlignment="1">
      <alignment horizontal="right"/>
    </xf>
    <xf numFmtId="1" fontId="9" fillId="4" borderId="1" xfId="0" applyNumberFormat="1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indent="1"/>
    </xf>
    <xf numFmtId="0" fontId="0" fillId="5" borderId="1" xfId="0" applyFill="1" applyBorder="1"/>
    <xf numFmtId="0" fontId="8" fillId="6" borderId="1" xfId="0" applyFont="1" applyFill="1" applyBorder="1" applyAlignment="1">
      <alignment horizontal="left" vertical="center" indent="2"/>
    </xf>
    <xf numFmtId="164" fontId="12" fillId="6" borderId="1" xfId="0" applyNumberFormat="1" applyFont="1" applyFill="1" applyBorder="1" applyAlignment="1">
      <alignment horizontal="right" vertical="center"/>
    </xf>
    <xf numFmtId="164" fontId="13" fillId="6" borderId="1" xfId="0" applyNumberFormat="1" applyFont="1" applyFill="1" applyBorder="1" applyAlignment="1">
      <alignment horizontal="right" vertical="center"/>
    </xf>
    <xf numFmtId="0" fontId="14" fillId="7" borderId="1" xfId="0" applyFont="1" applyFill="1" applyBorder="1" applyAlignment="1">
      <alignment horizontal="left" vertical="center" indent="2"/>
    </xf>
    <xf numFmtId="164" fontId="15" fillId="7" borderId="1" xfId="0" applyNumberFormat="1" applyFont="1" applyFill="1" applyBorder="1" applyAlignment="1">
      <alignment horizontal="right" vertical="center"/>
    </xf>
    <xf numFmtId="164" fontId="16" fillId="7" borderId="1" xfId="0" applyNumberFormat="1" applyFont="1" applyFill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indent="2"/>
    </xf>
    <xf numFmtId="9" fontId="17" fillId="0" borderId="1" xfId="0" applyNumberFormat="1" applyFont="1" applyBorder="1" applyAlignment="1">
      <alignment horizontal="right" vertical="center"/>
    </xf>
    <xf numFmtId="9" fontId="13" fillId="0" borderId="1" xfId="0" applyNumberFormat="1" applyFont="1" applyBorder="1" applyAlignment="1">
      <alignment horizontal="right" vertical="center"/>
    </xf>
    <xf numFmtId="0" fontId="18" fillId="0" borderId="1" xfId="0" applyFont="1" applyBorder="1" applyAlignment="1">
      <alignment horizontal="center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19" fillId="2" borderId="1" xfId="0" applyFont="1" applyFill="1" applyBorder="1" applyAlignment="1">
      <alignment horizontal="left" vertical="center" indent="1"/>
    </xf>
    <xf numFmtId="0" fontId="4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indent="1"/>
    </xf>
    <xf numFmtId="168" fontId="6" fillId="0" borderId="1" xfId="0" applyNumberFormat="1" applyFont="1" applyBorder="1" applyAlignment="1">
      <alignment horizontal="right" vertical="center"/>
    </xf>
    <xf numFmtId="10" fontId="6" fillId="0" borderId="1" xfId="0" applyNumberFormat="1" applyFont="1" applyBorder="1" applyAlignment="1">
      <alignment horizontal="right" vertical="center"/>
    </xf>
    <xf numFmtId="1" fontId="6" fillId="0" borderId="1" xfId="0" applyNumberFormat="1" applyFont="1" applyBorder="1" applyAlignment="1">
      <alignment horizontal="right" vertical="center"/>
    </xf>
    <xf numFmtId="14" fontId="6" fillId="0" borderId="1" xfId="0" applyNumberFormat="1" applyFont="1" applyBorder="1" applyAlignment="1">
      <alignment horizontal="right" vertical="center"/>
    </xf>
    <xf numFmtId="0" fontId="6" fillId="3" borderId="1" xfId="0" applyFont="1" applyFill="1" applyBorder="1" applyAlignment="1">
      <alignment horizontal="left" vertical="center" indent="1"/>
    </xf>
    <xf numFmtId="168" fontId="6" fillId="3" borderId="1" xfId="0" applyNumberFormat="1" applyFont="1" applyFill="1" applyBorder="1" applyAlignment="1">
      <alignment horizontal="right" vertical="center"/>
    </xf>
    <xf numFmtId="10" fontId="6" fillId="3" borderId="1" xfId="0" applyNumberFormat="1" applyFont="1" applyFill="1" applyBorder="1" applyAlignment="1">
      <alignment horizontal="right" vertical="center"/>
    </xf>
    <xf numFmtId="1" fontId="6" fillId="3" borderId="1" xfId="0" applyNumberFormat="1" applyFont="1" applyFill="1" applyBorder="1" applyAlignment="1">
      <alignment horizontal="right" vertical="center"/>
    </xf>
    <xf numFmtId="14" fontId="6" fillId="3" borderId="1" xfId="0" applyNumberFormat="1" applyFont="1" applyFill="1" applyBorder="1" applyAlignment="1">
      <alignment horizontal="right" vertical="center"/>
    </xf>
    <xf numFmtId="0" fontId="6" fillId="0" borderId="1" xfId="0" applyFont="1" applyBorder="1"/>
    <xf numFmtId="168" fontId="6" fillId="0" borderId="1" xfId="0" applyNumberFormat="1" applyFont="1" applyBorder="1"/>
    <xf numFmtId="10" fontId="6" fillId="0" borderId="1" xfId="0" applyNumberFormat="1" applyFont="1" applyBorder="1"/>
    <xf numFmtId="1" fontId="6" fillId="0" borderId="1" xfId="0" applyNumberFormat="1" applyFont="1" applyBorder="1"/>
    <xf numFmtId="14" fontId="6" fillId="0" borderId="1" xfId="0" applyNumberFormat="1" applyFont="1" applyBorder="1"/>
    <xf numFmtId="0" fontId="26" fillId="0" borderId="0" xfId="0" applyFont="1"/>
    <xf numFmtId="0" fontId="27" fillId="0" borderId="0" xfId="0" applyFont="1" applyAlignment="1">
      <alignment vertical="top" wrapText="1"/>
    </xf>
    <xf numFmtId="0" fontId="5" fillId="0" borderId="1" xfId="0" quotePrefix="1" applyFont="1" applyBorder="1" applyAlignment="1">
      <alignment horizontal="left" vertical="center" indent="1"/>
    </xf>
    <xf numFmtId="168" fontId="0" fillId="0" borderId="0" xfId="0" applyNumberFormat="1"/>
    <xf numFmtId="0" fontId="0" fillId="8" borderId="0" xfId="0" applyFill="1"/>
    <xf numFmtId="0" fontId="1" fillId="8" borderId="0" xfId="0" applyFont="1" applyFill="1"/>
    <xf numFmtId="0" fontId="2" fillId="8" borderId="0" xfId="0" applyFont="1" applyFill="1"/>
    <xf numFmtId="0" fontId="4" fillId="8" borderId="1" xfId="0" applyFont="1" applyFill="1" applyBorder="1" applyAlignment="1">
      <alignment horizontal="center" vertical="center" wrapText="1"/>
    </xf>
    <xf numFmtId="0" fontId="0" fillId="9" borderId="0" xfId="0" applyFill="1"/>
    <xf numFmtId="0" fontId="6" fillId="0" borderId="1" xfId="0" applyFont="1" applyBorder="1" applyAlignment="1">
      <alignment horizontal="left" vertical="top" wrapText="1" indent="1"/>
    </xf>
    <xf numFmtId="14" fontId="0" fillId="0" borderId="0" xfId="0" applyNumberFormat="1"/>
    <xf numFmtId="0" fontId="6" fillId="10" borderId="1" xfId="0" applyFont="1" applyFill="1" applyBorder="1" applyAlignment="1">
      <alignment horizontal="left" vertical="center" indent="1"/>
    </xf>
    <xf numFmtId="168" fontId="6" fillId="10" borderId="1" xfId="0" applyNumberFormat="1" applyFont="1" applyFill="1" applyBorder="1" applyAlignment="1">
      <alignment horizontal="right" vertical="center"/>
    </xf>
    <xf numFmtId="10" fontId="6" fillId="10" borderId="1" xfId="0" applyNumberFormat="1" applyFont="1" applyFill="1" applyBorder="1" applyAlignment="1">
      <alignment horizontal="right" vertical="center"/>
    </xf>
    <xf numFmtId="1" fontId="6" fillId="10" borderId="1" xfId="0" applyNumberFormat="1" applyFont="1" applyFill="1" applyBorder="1" applyAlignment="1">
      <alignment horizontal="right" vertical="center"/>
    </xf>
    <xf numFmtId="14" fontId="6" fillId="10" borderId="1" xfId="0" applyNumberFormat="1" applyFont="1" applyFill="1" applyBorder="1" applyAlignment="1">
      <alignment horizontal="right" vertical="center"/>
    </xf>
    <xf numFmtId="14" fontId="6" fillId="3" borderId="1" xfId="0" applyNumberFormat="1" applyFont="1" applyFill="1" applyBorder="1" applyAlignment="1">
      <alignment horizontal="left" vertical="center"/>
    </xf>
    <xf numFmtId="0" fontId="6" fillId="10" borderId="1" xfId="0" applyFont="1" applyFill="1" applyBorder="1" applyAlignment="1">
      <alignment vertical="center" indent="1"/>
    </xf>
    <xf numFmtId="0" fontId="28" fillId="0" borderId="1" xfId="0" applyFont="1" applyBorder="1" applyAlignment="1">
      <alignment horizontal="left" vertical="center" indent="1"/>
    </xf>
    <xf numFmtId="168" fontId="28" fillId="0" borderId="1" xfId="0" applyNumberFormat="1" applyFont="1" applyBorder="1" applyAlignment="1">
      <alignment horizontal="right" vertical="center"/>
    </xf>
    <xf numFmtId="10" fontId="28" fillId="0" borderId="1" xfId="0" applyNumberFormat="1" applyFont="1" applyBorder="1" applyAlignment="1">
      <alignment horizontal="right" vertical="center"/>
    </xf>
    <xf numFmtId="1" fontId="28" fillId="0" borderId="1" xfId="0" applyNumberFormat="1" applyFont="1" applyBorder="1" applyAlignment="1">
      <alignment horizontal="right" vertical="center"/>
    </xf>
    <xf numFmtId="14" fontId="28" fillId="0" borderId="1" xfId="0" applyNumberFormat="1" applyFont="1" applyBorder="1" applyAlignment="1">
      <alignment horizontal="right" vertical="center"/>
    </xf>
    <xf numFmtId="0" fontId="28" fillId="3" borderId="1" xfId="0" applyFont="1" applyFill="1" applyBorder="1" applyAlignment="1">
      <alignment horizontal="left" vertical="center" indent="1"/>
    </xf>
    <xf numFmtId="168" fontId="28" fillId="3" borderId="1" xfId="0" applyNumberFormat="1" applyFont="1" applyFill="1" applyBorder="1" applyAlignment="1">
      <alignment horizontal="right" vertical="center"/>
    </xf>
    <xf numFmtId="10" fontId="28" fillId="3" borderId="1" xfId="0" applyNumberFormat="1" applyFont="1" applyFill="1" applyBorder="1" applyAlignment="1">
      <alignment horizontal="right" vertical="center"/>
    </xf>
    <xf numFmtId="1" fontId="28" fillId="3" borderId="1" xfId="0" applyNumberFormat="1" applyFont="1" applyFill="1" applyBorder="1" applyAlignment="1">
      <alignment horizontal="right" vertical="center"/>
    </xf>
    <xf numFmtId="14" fontId="28" fillId="3" borderId="1" xfId="0" applyNumberFormat="1" applyFont="1" applyFill="1" applyBorder="1" applyAlignment="1">
      <alignment horizontal="right" vertical="center"/>
    </xf>
    <xf numFmtId="0" fontId="29" fillId="0" borderId="1" xfId="0" applyFont="1" applyBorder="1" applyAlignment="1">
      <alignment horizontal="left" vertical="center" indent="1"/>
    </xf>
    <xf numFmtId="168" fontId="29" fillId="0" borderId="1" xfId="0" applyNumberFormat="1" applyFont="1" applyBorder="1" applyAlignment="1">
      <alignment horizontal="right" vertical="center"/>
    </xf>
    <xf numFmtId="10" fontId="29" fillId="0" borderId="1" xfId="0" applyNumberFormat="1" applyFont="1" applyBorder="1" applyAlignment="1">
      <alignment horizontal="right" vertical="center"/>
    </xf>
    <xf numFmtId="1" fontId="29" fillId="0" borderId="1" xfId="0" applyNumberFormat="1" applyFont="1" applyBorder="1" applyAlignment="1">
      <alignment horizontal="right" vertical="center"/>
    </xf>
    <xf numFmtId="14" fontId="29" fillId="0" borderId="1" xfId="0" applyNumberFormat="1" applyFont="1" applyBorder="1" applyAlignment="1">
      <alignment horizontal="right" vertical="center"/>
    </xf>
    <xf numFmtId="0" fontId="29" fillId="3" borderId="1" xfId="0" applyFont="1" applyFill="1" applyBorder="1" applyAlignment="1">
      <alignment horizontal="left" vertical="center" indent="1"/>
    </xf>
    <xf numFmtId="168" fontId="29" fillId="3" borderId="1" xfId="0" applyNumberFormat="1" applyFont="1" applyFill="1" applyBorder="1" applyAlignment="1">
      <alignment horizontal="right" vertical="center"/>
    </xf>
    <xf numFmtId="10" fontId="29" fillId="3" borderId="1" xfId="0" applyNumberFormat="1" applyFont="1" applyFill="1" applyBorder="1" applyAlignment="1">
      <alignment horizontal="right" vertical="center"/>
    </xf>
    <xf numFmtId="1" fontId="29" fillId="3" borderId="1" xfId="0" applyNumberFormat="1" applyFont="1" applyFill="1" applyBorder="1" applyAlignment="1">
      <alignment horizontal="right" vertical="center"/>
    </xf>
    <xf numFmtId="14" fontId="29" fillId="3" borderId="1" xfId="0" applyNumberFormat="1" applyFont="1" applyFill="1" applyBorder="1" applyAlignment="1">
      <alignment horizontal="right" vertical="center"/>
    </xf>
    <xf numFmtId="14" fontId="0" fillId="0" borderId="0" xfId="0" applyNumberFormat="1" applyAlignment="1">
      <alignment horizontal="left"/>
    </xf>
    <xf numFmtId="14" fontId="6" fillId="3" borderId="1" xfId="0" applyNumberFormat="1" applyFont="1" applyFill="1" applyBorder="1" applyAlignment="1">
      <alignment horizontal="left" vertical="center" indent="1"/>
    </xf>
    <xf numFmtId="0" fontId="0" fillId="0" borderId="0" xfId="0" applyAlignment="1">
      <alignment horizontal="center"/>
    </xf>
    <xf numFmtId="0" fontId="6" fillId="11" borderId="1" xfId="0" applyFont="1" applyFill="1" applyBorder="1" applyAlignment="1">
      <alignment horizontal="left" vertical="center" indent="1"/>
    </xf>
    <xf numFmtId="14" fontId="30" fillId="0" borderId="1" xfId="0" applyNumberFormat="1" applyFont="1" applyBorder="1" applyAlignment="1">
      <alignment horizontal="right" vertical="center"/>
    </xf>
    <xf numFmtId="0" fontId="0" fillId="0" borderId="0" xfId="0" applyAlignment="1">
      <alignment horizontal="left"/>
    </xf>
    <xf numFmtId="0" fontId="6" fillId="3" borderId="1" xfId="0" applyFont="1" applyFill="1" applyBorder="1" applyAlignment="1">
      <alignment vertical="center" indent="1"/>
    </xf>
    <xf numFmtId="0" fontId="31" fillId="0" borderId="1" xfId="0" applyFont="1" applyBorder="1" applyAlignment="1">
      <alignment horizontal="left" vertical="center" indent="1"/>
    </xf>
    <xf numFmtId="168" fontId="31" fillId="0" borderId="1" xfId="0" applyNumberFormat="1" applyFont="1" applyBorder="1" applyAlignment="1">
      <alignment horizontal="right" vertical="center"/>
    </xf>
    <xf numFmtId="10" fontId="31" fillId="0" borderId="1" xfId="0" applyNumberFormat="1" applyFont="1" applyBorder="1" applyAlignment="1">
      <alignment horizontal="right" vertical="center"/>
    </xf>
    <xf numFmtId="1" fontId="31" fillId="0" borderId="1" xfId="0" applyNumberFormat="1" applyFont="1" applyBorder="1" applyAlignment="1">
      <alignment horizontal="right" vertical="center"/>
    </xf>
    <xf numFmtId="14" fontId="31" fillId="0" borderId="1" xfId="0" applyNumberFormat="1" applyFont="1" applyBorder="1" applyAlignment="1">
      <alignment horizontal="right" vertical="center"/>
    </xf>
    <xf numFmtId="168" fontId="32" fillId="0" borderId="1" xfId="0" applyNumberFormat="1" applyFont="1" applyBorder="1" applyAlignment="1">
      <alignment horizontal="right" vertical="center"/>
    </xf>
    <xf numFmtId="0" fontId="32" fillId="3" borderId="1" xfId="0" applyFont="1" applyFill="1" applyBorder="1" applyAlignment="1">
      <alignment horizontal="left" vertical="center" indent="1"/>
    </xf>
    <xf numFmtId="168" fontId="32" fillId="3" borderId="1" xfId="0" applyNumberFormat="1" applyFont="1" applyFill="1" applyBorder="1" applyAlignment="1">
      <alignment horizontal="right" vertical="center"/>
    </xf>
    <xf numFmtId="10" fontId="32" fillId="3" borderId="1" xfId="0" applyNumberFormat="1" applyFont="1" applyFill="1" applyBorder="1" applyAlignment="1">
      <alignment horizontal="right" vertical="center"/>
    </xf>
    <xf numFmtId="1" fontId="32" fillId="3" borderId="1" xfId="0" applyNumberFormat="1" applyFont="1" applyFill="1" applyBorder="1" applyAlignment="1">
      <alignment horizontal="right" vertical="center"/>
    </xf>
    <xf numFmtId="14" fontId="32" fillId="3" borderId="1" xfId="0" applyNumberFormat="1" applyFont="1" applyFill="1" applyBorder="1" applyAlignment="1">
      <alignment horizontal="right" vertical="center"/>
    </xf>
    <xf numFmtId="0" fontId="4" fillId="8" borderId="1" xfId="0" applyFont="1" applyFill="1" applyBorder="1" applyAlignment="1">
      <alignment horizontal="left" vertical="center" wrapText="1"/>
    </xf>
    <xf numFmtId="0" fontId="0" fillId="0" borderId="0" xfId="0"/>
    <xf numFmtId="168" fontId="5" fillId="0" borderId="1" xfId="0" applyNumberFormat="1" applyFont="1" applyBorder="1" applyAlignment="1">
      <alignment horizontal="right" vertical="center"/>
    </xf>
    <xf numFmtId="10" fontId="5" fillId="0" borderId="1" xfId="0" applyNumberFormat="1" applyFont="1" applyBorder="1" applyAlignment="1">
      <alignment horizontal="right" vertical="center"/>
    </xf>
    <xf numFmtId="1" fontId="5" fillId="0" borderId="1" xfId="0" applyNumberFormat="1" applyFont="1" applyBorder="1" applyAlignment="1">
      <alignment horizontal="right" vertical="center"/>
    </xf>
    <xf numFmtId="14" fontId="5" fillId="0" borderId="1" xfId="0" applyNumberFormat="1" applyFont="1" applyBorder="1" applyAlignment="1">
      <alignment horizontal="right" vertical="center"/>
    </xf>
    <xf numFmtId="168" fontId="5" fillId="3" borderId="1" xfId="0" applyNumberFormat="1" applyFont="1" applyFill="1" applyBorder="1" applyAlignment="1">
      <alignment horizontal="right" vertical="center"/>
    </xf>
    <xf numFmtId="10" fontId="5" fillId="3" borderId="1" xfId="0" applyNumberFormat="1" applyFont="1" applyFill="1" applyBorder="1" applyAlignment="1">
      <alignment horizontal="right" vertical="center"/>
    </xf>
    <xf numFmtId="1" fontId="5" fillId="3" borderId="1" xfId="0" applyNumberFormat="1" applyFont="1" applyFill="1" applyBorder="1" applyAlignment="1">
      <alignment horizontal="right" vertical="center"/>
    </xf>
    <xf numFmtId="14" fontId="5" fillId="3" borderId="1" xfId="0" applyNumberFormat="1" applyFont="1" applyFill="1" applyBorder="1" applyAlignment="1">
      <alignment horizontal="right" vertical="center"/>
    </xf>
    <xf numFmtId="14" fontId="5" fillId="3" borderId="1" xfId="0" applyNumberFormat="1" applyFont="1" applyFill="1" applyBorder="1" applyAlignment="1">
      <alignment horizontal="center" vertical="center"/>
    </xf>
    <xf numFmtId="14" fontId="5" fillId="0" borderId="0" xfId="0" applyNumberFormat="1" applyFont="1"/>
    <xf numFmtId="0" fontId="9" fillId="4" borderId="1" xfId="0" applyFont="1" applyFill="1" applyBorder="1" applyAlignment="1">
      <alignment horizontal="center" vertical="center"/>
    </xf>
    <xf numFmtId="0" fontId="0" fillId="0" borderId="2" xfId="0" applyBorder="1" applyAlignment="1"/>
    <xf numFmtId="0" fontId="20" fillId="0" borderId="0" xfId="0" applyFont="1" applyAlignment="1">
      <alignment horizontal="center"/>
    </xf>
    <xf numFmtId="0" fontId="0" fillId="0" borderId="0" xfId="0" applyAlignment="1"/>
    <xf numFmtId="3" fontId="23" fillId="6" borderId="1" xfId="0" applyNumberFormat="1" applyFont="1" applyFill="1" applyBorder="1" applyAlignment="1">
      <alignment horizontal="center" vertical="center"/>
    </xf>
    <xf numFmtId="164" fontId="23" fillId="6" borderId="1" xfId="0" applyNumberFormat="1" applyFont="1" applyFill="1" applyBorder="1" applyAlignment="1">
      <alignment horizontal="center" vertical="center"/>
    </xf>
    <xf numFmtId="3" fontId="25" fillId="6" borderId="1" xfId="0" applyNumberFormat="1" applyFont="1" applyFill="1" applyBorder="1" applyAlignment="1">
      <alignment horizontal="center" vertical="center"/>
    </xf>
    <xf numFmtId="164" fontId="25" fillId="6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9">
    <dxf>
      <font>
        <color rgb="FF9C1C1C"/>
      </font>
      <fill>
        <patternFill patternType="solid">
          <fgColor rgb="FFFCE4E4"/>
          <bgColor rgb="FFFCE4E4"/>
        </patternFill>
      </fill>
    </dxf>
    <dxf>
      <font>
        <color rgb="FF7F6000"/>
      </font>
      <fill>
        <patternFill patternType="solid">
          <fgColor rgb="FFFFF2CC"/>
          <bgColor rgb="FFFFF2CC"/>
        </patternFill>
      </fill>
    </dxf>
    <dxf>
      <font>
        <color rgb="FF1B5E20"/>
      </font>
      <fill>
        <patternFill patternType="solid">
          <fgColor rgb="FFC6EFCE"/>
          <bgColor rgb="FFC6EFCE"/>
        </patternFill>
      </fill>
    </dxf>
    <dxf>
      <font>
        <color rgb="FF9C1C1C"/>
      </font>
      <fill>
        <patternFill patternType="solid">
          <fgColor rgb="FFFCE4E4"/>
          <bgColor rgb="FFFCE4E4"/>
        </patternFill>
      </fill>
    </dxf>
    <dxf>
      <font>
        <color rgb="FF7F6000"/>
      </font>
      <fill>
        <patternFill patternType="solid">
          <fgColor rgb="FFFFF2CC"/>
          <bgColor rgb="FFFFF2CC"/>
        </patternFill>
      </fill>
    </dxf>
    <dxf>
      <font>
        <color rgb="FF1B5E20"/>
      </font>
      <fill>
        <patternFill patternType="solid">
          <fgColor rgb="FFC6EFCE"/>
          <bgColor rgb="FFC6EFCE"/>
        </patternFill>
      </fill>
    </dxf>
    <dxf>
      <font>
        <color rgb="FF9C1C1C"/>
      </font>
      <fill>
        <patternFill patternType="solid">
          <fgColor rgb="FFFCE4E4"/>
          <bgColor rgb="FFFCE4E4"/>
        </patternFill>
      </fill>
    </dxf>
    <dxf>
      <font>
        <color rgb="FF7F6000"/>
      </font>
      <fill>
        <patternFill patternType="solid">
          <fgColor rgb="FFFFF2CC"/>
          <bgColor rgb="FFFFF2CC"/>
        </patternFill>
      </fill>
    </dxf>
    <dxf>
      <font>
        <color rgb="FF1B5E20"/>
      </font>
      <fill>
        <patternFill patternType="solid">
          <fgColor rgb="FFC6EFCE"/>
          <bgColor rgb="FFC6EFCE"/>
        </patternFill>
      </fill>
    </dxf>
    <dxf>
      <font>
        <color rgb="FF9C1C1C"/>
      </font>
      <fill>
        <patternFill patternType="solid">
          <fgColor rgb="FFFCE4E4"/>
          <bgColor rgb="FFFCE4E4"/>
        </patternFill>
      </fill>
    </dxf>
    <dxf>
      <font>
        <color rgb="FF7F6000"/>
      </font>
      <fill>
        <patternFill patternType="solid">
          <fgColor rgb="FFFFF2CC"/>
          <bgColor rgb="FFFFF2CC"/>
        </patternFill>
      </fill>
    </dxf>
    <dxf>
      <font>
        <color rgb="FF1B5E20"/>
      </font>
      <fill>
        <patternFill patternType="solid">
          <fgColor rgb="FFC6EFCE"/>
          <bgColor rgb="FFC6EFCE"/>
        </patternFill>
      </fill>
    </dxf>
    <dxf>
      <font>
        <color rgb="FF9C1C1C"/>
      </font>
      <fill>
        <patternFill patternType="solid">
          <fgColor rgb="FFFCE4E4"/>
          <bgColor rgb="FFFCE4E4"/>
        </patternFill>
      </fill>
    </dxf>
    <dxf>
      <font>
        <color rgb="FF7F6000"/>
      </font>
      <fill>
        <patternFill patternType="solid">
          <fgColor rgb="FFFFF2CC"/>
          <bgColor rgb="FFFFF2CC"/>
        </patternFill>
      </fill>
    </dxf>
    <dxf>
      <font>
        <color rgb="FF1B5E20"/>
      </font>
      <fill>
        <patternFill patternType="solid">
          <fgColor rgb="FFC6EFCE"/>
          <bgColor rgb="FFC6EFCE"/>
        </patternFill>
      </fill>
    </dxf>
    <dxf>
      <font>
        <color rgb="FF9C1C1C"/>
      </font>
      <fill>
        <patternFill patternType="solid">
          <fgColor rgb="FFFCE4E4"/>
          <bgColor rgb="FFFCE4E4"/>
        </patternFill>
      </fill>
    </dxf>
    <dxf>
      <font>
        <color rgb="FF7F6000"/>
      </font>
      <fill>
        <patternFill patternType="solid">
          <fgColor rgb="FFFFF2CC"/>
          <bgColor rgb="FFFFF2CC"/>
        </patternFill>
      </fill>
    </dxf>
    <dxf>
      <font>
        <color rgb="FF1B5E20"/>
      </font>
      <fill>
        <patternFill patternType="solid">
          <fgColor rgb="FFC6EFCE"/>
          <bgColor rgb="FFC6EFCE"/>
        </patternFill>
      </fill>
    </dxf>
    <dxf>
      <font>
        <b/>
        <color rgb="FF9C1C1C"/>
      </font>
      <fill>
        <patternFill patternType="solid">
          <fgColor rgb="FFFCE4E4"/>
          <bgColor rgb="FFFCE4E4"/>
        </patternFill>
      </fill>
    </dxf>
  </dxfs>
  <tableStyles count="0" defaultTableStyle="TableStyleMedium9" defaultPivotStyle="PivotStyleLight16"/>
  <colors>
    <mruColors>
      <color rgb="FF0C1B37"/>
      <color rgb="FF0C1B3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-1485900</xdr:colOff>
      <xdr:row>0</xdr:row>
      <xdr:rowOff>-2771775</xdr:rowOff>
    </xdr:from>
    <xdr:to>
      <xdr:col>0</xdr:col>
      <xdr:colOff>-1485900</xdr:colOff>
      <xdr:row>0</xdr:row>
      <xdr:rowOff>-2767965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66327D5-C802-8C89-440E-3282CDFB1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14890" t="27800" r="13440" b="29670"/>
        <a:stretch>
          <a:fillRect/>
        </a:stretch>
      </xdr:blipFill>
      <xdr:spPr>
        <a:xfrm>
          <a:off x="-1485900" y="-2771775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161925</xdr:colOff>
      <xdr:row>0</xdr:row>
      <xdr:rowOff>161925</xdr:rowOff>
    </xdr:from>
    <xdr:to>
      <xdr:col>0</xdr:col>
      <xdr:colOff>1767840</xdr:colOff>
      <xdr:row>3</xdr:row>
      <xdr:rowOff>114300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0B91B71-1E2A-863D-8054-4B78E61E1719}"/>
            </a:ext>
            <a:ext uri="{147F2762-F138-4A5C-976F-8EAC2B608ADB}">
              <a16:predDERef xmlns:a16="http://schemas.microsoft.com/office/drawing/2014/main" pred="{F66327D5-C802-8C89-440E-3282CDFB1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26770" b="29670"/>
        <a:stretch>
          <a:fillRect/>
        </a:stretch>
      </xdr:blipFill>
      <xdr:spPr>
        <a:xfrm>
          <a:off x="161925" y="161925"/>
          <a:ext cx="1600200" cy="638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161925</xdr:rowOff>
    </xdr:from>
    <xdr:to>
      <xdr:col>0</xdr:col>
      <xdr:colOff>1771650</xdr:colOff>
      <xdr:row>3</xdr:row>
      <xdr:rowOff>114300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B01DA194-E606-4B39-846D-5707113B408F}"/>
            </a:ext>
            <a:ext uri="{147F2762-F138-4A5C-976F-8EAC2B608ADB}">
              <a16:predDERef xmlns:a16="http://schemas.microsoft.com/office/drawing/2014/main" pred="{F66327D5-C802-8C89-440E-3282CDFB1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26770" b="29670"/>
        <a:stretch>
          <a:fillRect/>
        </a:stretch>
      </xdr:blipFill>
      <xdr:spPr>
        <a:xfrm>
          <a:off x="161925" y="161925"/>
          <a:ext cx="1600200" cy="6381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161925</xdr:rowOff>
    </xdr:from>
    <xdr:to>
      <xdr:col>0</xdr:col>
      <xdr:colOff>1771650</xdr:colOff>
      <xdr:row>3</xdr:row>
      <xdr:rowOff>114300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74985B8E-7CFA-41D5-96A8-042BA9BB9C9E}"/>
            </a:ext>
            <a:ext uri="{147F2762-F138-4A5C-976F-8EAC2B608ADB}">
              <a16:predDERef xmlns:a16="http://schemas.microsoft.com/office/drawing/2014/main" pred="{F66327D5-C802-8C89-440E-3282CDFB1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26770" b="29670"/>
        <a:stretch>
          <a:fillRect/>
        </a:stretch>
      </xdr:blipFill>
      <xdr:spPr>
        <a:xfrm>
          <a:off x="161925" y="161925"/>
          <a:ext cx="1600200" cy="6381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161925</xdr:rowOff>
    </xdr:from>
    <xdr:to>
      <xdr:col>0</xdr:col>
      <xdr:colOff>1764030</xdr:colOff>
      <xdr:row>3</xdr:row>
      <xdr:rowOff>114300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A98FA9A0-317B-4F69-B2C3-E3A67D4A7B0A}"/>
            </a:ext>
            <a:ext uri="{147F2762-F138-4A5C-976F-8EAC2B608ADB}">
              <a16:predDERef xmlns:a16="http://schemas.microsoft.com/office/drawing/2014/main" pred="{F66327D5-C802-8C89-440E-3282CDFB1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26770" b="29670"/>
        <a:stretch>
          <a:fillRect/>
        </a:stretch>
      </xdr:blipFill>
      <xdr:spPr>
        <a:xfrm>
          <a:off x="161925" y="161925"/>
          <a:ext cx="1600200" cy="6381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161925</xdr:rowOff>
    </xdr:from>
    <xdr:to>
      <xdr:col>0</xdr:col>
      <xdr:colOff>1762125</xdr:colOff>
      <xdr:row>3</xdr:row>
      <xdr:rowOff>114300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8FBCB5AC-D347-461E-A2E9-783ECDEF45D4}"/>
            </a:ext>
            <a:ext uri="{147F2762-F138-4A5C-976F-8EAC2B608ADB}">
              <a16:predDERef xmlns:a16="http://schemas.microsoft.com/office/drawing/2014/main" pred="{F66327D5-C802-8C89-440E-3282CDFB1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26770" b="29670"/>
        <a:stretch>
          <a:fillRect/>
        </a:stretch>
      </xdr:blipFill>
      <xdr:spPr>
        <a:xfrm>
          <a:off x="161925" y="161925"/>
          <a:ext cx="1600200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393"/>
  <sheetViews>
    <sheetView showGridLines="0" workbookViewId="0">
      <pane ySplit="6" topLeftCell="A7" activePane="bottomLeft" state="frozen"/>
      <selection pane="bottomLeft" activeCell="H16" sqref="H16"/>
    </sheetView>
  </sheetViews>
  <sheetFormatPr defaultRowHeight="14.45"/>
  <cols>
    <col min="1" max="1" width="50.85546875" customWidth="1"/>
    <col min="2" max="2" width="26" customWidth="1"/>
    <col min="3" max="3" width="16" customWidth="1"/>
    <col min="4" max="4" width="9" customWidth="1"/>
    <col min="5" max="6" width="15" customWidth="1"/>
    <col min="7" max="7" width="7" customWidth="1"/>
    <col min="8" max="8" width="36.85546875" customWidth="1"/>
    <col min="9" max="9" width="19" customWidth="1"/>
    <col min="10" max="10" width="17.85546875" customWidth="1"/>
    <col min="11" max="11" width="18" customWidth="1"/>
    <col min="12" max="12" width="24.42578125" customWidth="1"/>
    <col min="13" max="13" width="25" customWidth="1"/>
    <col min="14" max="14" width="32" customWidth="1"/>
    <col min="15" max="15" width="42" customWidth="1"/>
  </cols>
  <sheetData>
    <row r="1" spans="1:15">
      <c r="A1" s="64"/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</row>
    <row r="2" spans="1:15">
      <c r="A2" s="64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</row>
    <row r="3" spans="1:15" ht="24" customHeight="1">
      <c r="A3" s="65"/>
      <c r="B3" s="68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</row>
    <row r="4" spans="1:15" ht="14.1" customHeight="1">
      <c r="A4" s="66"/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</row>
    <row r="5" spans="1:15">
      <c r="A5" s="64"/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</row>
    <row r="6" spans="1:15" ht="27.95" customHeight="1">
      <c r="A6" s="67" t="s">
        <v>0</v>
      </c>
      <c r="B6" s="67" t="s">
        <v>1</v>
      </c>
      <c r="C6" s="67" t="s">
        <v>2</v>
      </c>
      <c r="D6" s="67" t="s">
        <v>3</v>
      </c>
      <c r="E6" s="67" t="s">
        <v>4</v>
      </c>
      <c r="F6" s="67" t="s">
        <v>5</v>
      </c>
      <c r="G6" s="67" t="s">
        <v>6</v>
      </c>
      <c r="H6" s="67" t="s">
        <v>7</v>
      </c>
      <c r="I6" s="67" t="s">
        <v>8</v>
      </c>
      <c r="J6" s="67" t="s">
        <v>9</v>
      </c>
      <c r="K6" s="67" t="s">
        <v>10</v>
      </c>
      <c r="L6" s="67" t="s">
        <v>11</v>
      </c>
      <c r="M6" s="67" t="s">
        <v>12</v>
      </c>
      <c r="N6" s="67" t="s">
        <v>13</v>
      </c>
      <c r="O6" s="67" t="s">
        <v>14</v>
      </c>
    </row>
    <row r="7" spans="1:15">
      <c r="A7" s="45" t="s">
        <v>15</v>
      </c>
      <c r="B7" s="45" t="s">
        <v>16</v>
      </c>
      <c r="C7" s="46">
        <v>3000000</v>
      </c>
      <c r="D7" s="47">
        <v>0.02</v>
      </c>
      <c r="E7" s="46">
        <f t="shared" ref="E7" si="0">D7*C7</f>
        <v>60000</v>
      </c>
      <c r="F7" s="45" t="s">
        <v>17</v>
      </c>
      <c r="G7" s="48">
        <v>1</v>
      </c>
      <c r="H7" s="45" t="s">
        <v>18</v>
      </c>
      <c r="I7" s="45" t="s">
        <v>19</v>
      </c>
      <c r="J7" s="49">
        <v>46288</v>
      </c>
      <c r="K7" s="45" t="s">
        <v>20</v>
      </c>
      <c r="L7" s="45" t="s">
        <v>21</v>
      </c>
      <c r="M7" s="49"/>
      <c r="N7" s="49"/>
      <c r="O7" s="45" t="s">
        <v>22</v>
      </c>
    </row>
    <row r="8" spans="1:15">
      <c r="A8" s="45" t="s">
        <v>15</v>
      </c>
      <c r="B8" s="45" t="s">
        <v>16</v>
      </c>
      <c r="C8" s="46">
        <v>4000000</v>
      </c>
      <c r="D8" s="47">
        <v>0.02</v>
      </c>
      <c r="E8" s="46">
        <f>D8*C8</f>
        <v>80000</v>
      </c>
      <c r="F8" s="45" t="s">
        <v>17</v>
      </c>
      <c r="G8" s="48">
        <v>1</v>
      </c>
      <c r="H8" s="45" t="s">
        <v>23</v>
      </c>
      <c r="I8" s="45" t="s">
        <v>19</v>
      </c>
      <c r="J8" s="49">
        <v>46288</v>
      </c>
      <c r="K8" s="45" t="s">
        <v>20</v>
      </c>
      <c r="L8" s="45" t="s">
        <v>21</v>
      </c>
      <c r="M8" s="49"/>
      <c r="N8" s="49"/>
      <c r="O8" s="45" t="s">
        <v>22</v>
      </c>
    </row>
    <row r="9" spans="1:15" s="117" customFormat="1">
      <c r="A9" s="45" t="s">
        <v>24</v>
      </c>
      <c r="B9" s="45" t="s">
        <v>25</v>
      </c>
      <c r="C9" s="46">
        <v>8000000</v>
      </c>
      <c r="D9" s="47">
        <v>0.01</v>
      </c>
      <c r="E9" s="46">
        <f t="shared" ref="E9" si="1">D9*C9</f>
        <v>80000</v>
      </c>
      <c r="F9" s="45" t="s">
        <v>26</v>
      </c>
      <c r="G9" s="48">
        <v>1</v>
      </c>
      <c r="H9" s="45" t="s">
        <v>18</v>
      </c>
      <c r="I9" s="45" t="s">
        <v>27</v>
      </c>
      <c r="J9" s="49">
        <v>46288</v>
      </c>
      <c r="K9" s="45" t="s">
        <v>20</v>
      </c>
      <c r="L9" s="45" t="s">
        <v>21</v>
      </c>
      <c r="M9" s="49"/>
      <c r="N9" s="45"/>
      <c r="O9" s="45"/>
    </row>
    <row r="10" spans="1:15">
      <c r="A10" s="50" t="s">
        <v>28</v>
      </c>
      <c r="B10" s="50" t="s">
        <v>29</v>
      </c>
      <c r="C10" s="51">
        <v>40000000</v>
      </c>
      <c r="D10" s="52">
        <v>0.01</v>
      </c>
      <c r="E10" s="46">
        <f t="shared" ref="E10:E54" si="2">D10*C10</f>
        <v>400000</v>
      </c>
      <c r="F10" s="50" t="s">
        <v>26</v>
      </c>
      <c r="G10" s="53">
        <v>1</v>
      </c>
      <c r="H10" s="50" t="s">
        <v>30</v>
      </c>
      <c r="I10" s="50" t="s">
        <v>31</v>
      </c>
      <c r="J10" s="54">
        <v>46288</v>
      </c>
      <c r="K10" s="50" t="s">
        <v>20</v>
      </c>
      <c r="L10" s="50" t="s">
        <v>32</v>
      </c>
      <c r="M10" s="54"/>
      <c r="N10" s="50"/>
      <c r="O10" s="50"/>
    </row>
    <row r="11" spans="1:15">
      <c r="A11" s="45" t="s">
        <v>28</v>
      </c>
      <c r="B11" s="45" t="s">
        <v>16</v>
      </c>
      <c r="C11" s="46">
        <v>2000000</v>
      </c>
      <c r="D11" s="47">
        <v>0.01</v>
      </c>
      <c r="E11" s="46">
        <f t="shared" si="2"/>
        <v>20000</v>
      </c>
      <c r="F11" s="45" t="s">
        <v>26</v>
      </c>
      <c r="G11" s="48">
        <v>1</v>
      </c>
      <c r="H11" s="45" t="s">
        <v>30</v>
      </c>
      <c r="I11" s="45" t="s">
        <v>31</v>
      </c>
      <c r="J11" s="49">
        <v>46288</v>
      </c>
      <c r="K11" s="45" t="s">
        <v>20</v>
      </c>
      <c r="L11" s="45" t="s">
        <v>32</v>
      </c>
      <c r="M11" s="49"/>
      <c r="N11" s="45"/>
      <c r="O11" s="45"/>
    </row>
    <row r="12" spans="1:15">
      <c r="A12" s="50" t="s">
        <v>28</v>
      </c>
      <c r="B12" s="50" t="s">
        <v>29</v>
      </c>
      <c r="C12" s="51">
        <v>40000000</v>
      </c>
      <c r="D12" s="52">
        <v>0.01</v>
      </c>
      <c r="E12" s="46">
        <f t="shared" si="2"/>
        <v>400000</v>
      </c>
      <c r="F12" s="50" t="s">
        <v>26</v>
      </c>
      <c r="G12" s="53">
        <v>1</v>
      </c>
      <c r="H12" s="50" t="s">
        <v>33</v>
      </c>
      <c r="I12" s="50" t="s">
        <v>31</v>
      </c>
      <c r="J12" s="54">
        <v>46288</v>
      </c>
      <c r="K12" s="50" t="s">
        <v>20</v>
      </c>
      <c r="L12" s="50" t="s">
        <v>32</v>
      </c>
      <c r="M12" s="54"/>
      <c r="N12" s="50"/>
      <c r="O12" s="50"/>
    </row>
    <row r="13" spans="1:15">
      <c r="A13" s="45" t="s">
        <v>34</v>
      </c>
      <c r="B13" s="45" t="s">
        <v>16</v>
      </c>
      <c r="C13" s="46">
        <v>1000000</v>
      </c>
      <c r="D13" s="47">
        <v>0.04</v>
      </c>
      <c r="E13" s="46">
        <f t="shared" si="2"/>
        <v>40000</v>
      </c>
      <c r="F13" s="45" t="s">
        <v>26</v>
      </c>
      <c r="G13" s="48">
        <v>1</v>
      </c>
      <c r="H13" s="45" t="s">
        <v>30</v>
      </c>
      <c r="I13" s="45" t="s">
        <v>35</v>
      </c>
      <c r="J13" s="49">
        <v>46288</v>
      </c>
      <c r="K13" s="45" t="s">
        <v>20</v>
      </c>
      <c r="L13" s="45" t="s">
        <v>36</v>
      </c>
      <c r="M13" s="49"/>
      <c r="N13" s="45"/>
      <c r="O13" s="45"/>
    </row>
    <row r="14" spans="1:15" s="117" customFormat="1">
      <c r="A14" s="45" t="s">
        <v>34</v>
      </c>
      <c r="B14" s="45" t="s">
        <v>16</v>
      </c>
      <c r="C14" s="46">
        <v>1000000</v>
      </c>
      <c r="D14" s="47">
        <v>0.04</v>
      </c>
      <c r="E14" s="46">
        <f t="shared" ref="E14" si="3">D14*C14</f>
        <v>40000</v>
      </c>
      <c r="F14" s="45" t="s">
        <v>26</v>
      </c>
      <c r="G14" s="48">
        <v>1</v>
      </c>
      <c r="H14" s="45" t="s">
        <v>37</v>
      </c>
      <c r="I14" s="45" t="s">
        <v>35</v>
      </c>
      <c r="J14" s="49">
        <v>46288</v>
      </c>
      <c r="K14" s="45" t="s">
        <v>20</v>
      </c>
      <c r="L14" s="45" t="s">
        <v>21</v>
      </c>
      <c r="M14" s="49"/>
      <c r="N14" s="45"/>
      <c r="O14" s="45"/>
    </row>
    <row r="15" spans="1:15" s="117" customFormat="1">
      <c r="A15" s="45" t="s">
        <v>34</v>
      </c>
      <c r="B15" s="45" t="s">
        <v>16</v>
      </c>
      <c r="C15" s="46">
        <v>1000000</v>
      </c>
      <c r="D15" s="47">
        <v>0.04</v>
      </c>
      <c r="E15" s="46">
        <f t="shared" ref="E15" si="4">D15*C15</f>
        <v>40000</v>
      </c>
      <c r="F15" s="45" t="s">
        <v>26</v>
      </c>
      <c r="G15" s="48">
        <v>1</v>
      </c>
      <c r="H15" s="45" t="s">
        <v>18</v>
      </c>
      <c r="I15" s="45" t="s">
        <v>35</v>
      </c>
      <c r="J15" s="49">
        <v>46288</v>
      </c>
      <c r="K15" s="45" t="s">
        <v>20</v>
      </c>
      <c r="L15" s="45" t="s">
        <v>21</v>
      </c>
      <c r="M15" s="49"/>
      <c r="N15" s="45"/>
      <c r="O15" s="45"/>
    </row>
    <row r="16" spans="1:15">
      <c r="A16" s="50" t="s">
        <v>38</v>
      </c>
      <c r="B16" s="50" t="s">
        <v>29</v>
      </c>
      <c r="C16" s="51">
        <v>3000000</v>
      </c>
      <c r="D16" s="52">
        <v>0.02</v>
      </c>
      <c r="E16" s="46">
        <f t="shared" si="2"/>
        <v>60000</v>
      </c>
      <c r="F16" s="50" t="s">
        <v>26</v>
      </c>
      <c r="G16" s="53">
        <v>1</v>
      </c>
      <c r="H16" s="50" t="s">
        <v>39</v>
      </c>
      <c r="I16" s="50" t="s">
        <v>19</v>
      </c>
      <c r="J16" s="54">
        <v>46288</v>
      </c>
      <c r="K16" s="50" t="s">
        <v>26</v>
      </c>
      <c r="L16" s="50" t="s">
        <v>32</v>
      </c>
      <c r="M16" s="54"/>
      <c r="N16" s="50"/>
      <c r="O16" s="50"/>
    </row>
    <row r="17" spans="1:15">
      <c r="A17" s="45" t="s">
        <v>40</v>
      </c>
      <c r="B17" s="45" t="s">
        <v>16</v>
      </c>
      <c r="C17" s="46">
        <v>500000</v>
      </c>
      <c r="D17" s="47">
        <v>0.03</v>
      </c>
      <c r="E17" s="46">
        <f t="shared" si="2"/>
        <v>15000</v>
      </c>
      <c r="F17" s="45" t="s">
        <v>26</v>
      </c>
      <c r="G17" s="48">
        <v>1</v>
      </c>
      <c r="H17" s="45" t="s">
        <v>39</v>
      </c>
      <c r="I17" s="45" t="s">
        <v>19</v>
      </c>
      <c r="J17" s="49">
        <v>46288</v>
      </c>
      <c r="K17" s="45" t="s">
        <v>26</v>
      </c>
      <c r="L17" s="45" t="s">
        <v>32</v>
      </c>
      <c r="M17" s="49"/>
      <c r="N17" s="45"/>
      <c r="O17" s="45"/>
    </row>
    <row r="18" spans="1:15">
      <c r="A18" s="50" t="s">
        <v>41</v>
      </c>
      <c r="B18" s="50" t="s">
        <v>42</v>
      </c>
      <c r="C18" s="51">
        <v>500000</v>
      </c>
      <c r="D18" s="52">
        <v>0.03</v>
      </c>
      <c r="E18" s="46">
        <f t="shared" si="2"/>
        <v>15000</v>
      </c>
      <c r="F18" s="50" t="s">
        <v>17</v>
      </c>
      <c r="G18" s="53">
        <v>1</v>
      </c>
      <c r="H18" s="50" t="s">
        <v>18</v>
      </c>
      <c r="I18" s="50" t="s">
        <v>19</v>
      </c>
      <c r="J18" s="54">
        <v>46288</v>
      </c>
      <c r="K18" s="50" t="s">
        <v>20</v>
      </c>
      <c r="L18" s="50" t="s">
        <v>21</v>
      </c>
      <c r="M18" s="54"/>
      <c r="N18" s="50"/>
      <c r="O18" s="50"/>
    </row>
    <row r="19" spans="1:15">
      <c r="A19" s="45" t="s">
        <v>43</v>
      </c>
      <c r="B19" s="45" t="s">
        <v>16</v>
      </c>
      <c r="C19" s="46">
        <v>300000</v>
      </c>
      <c r="D19" s="47">
        <v>0.03</v>
      </c>
      <c r="E19" s="46">
        <f t="shared" si="2"/>
        <v>9000</v>
      </c>
      <c r="F19" s="45" t="s">
        <v>26</v>
      </c>
      <c r="G19" s="48">
        <v>1</v>
      </c>
      <c r="H19" s="45" t="s">
        <v>44</v>
      </c>
      <c r="I19" s="45" t="s">
        <v>19</v>
      </c>
      <c r="J19" s="49">
        <v>46288</v>
      </c>
      <c r="K19" s="45" t="s">
        <v>20</v>
      </c>
      <c r="L19" s="45" t="s">
        <v>21</v>
      </c>
      <c r="M19" s="49"/>
      <c r="N19" s="45"/>
      <c r="O19" s="45"/>
    </row>
    <row r="20" spans="1:15" s="117" customFormat="1">
      <c r="A20" s="45" t="s">
        <v>43</v>
      </c>
      <c r="B20" s="45" t="s">
        <v>16</v>
      </c>
      <c r="C20" s="46">
        <v>300000</v>
      </c>
      <c r="D20" s="47">
        <v>0.03</v>
      </c>
      <c r="E20" s="46">
        <f t="shared" ref="E20" si="5">D20*C20</f>
        <v>9000</v>
      </c>
      <c r="F20" s="45" t="s">
        <v>26</v>
      </c>
      <c r="G20" s="48">
        <v>1</v>
      </c>
      <c r="H20" s="45" t="s">
        <v>23</v>
      </c>
      <c r="I20" s="45" t="s">
        <v>19</v>
      </c>
      <c r="J20" s="49">
        <v>46288</v>
      </c>
      <c r="K20" s="45" t="s">
        <v>20</v>
      </c>
      <c r="L20" s="45" t="s">
        <v>21</v>
      </c>
      <c r="M20" s="49"/>
      <c r="N20" s="45"/>
      <c r="O20" s="45"/>
    </row>
    <row r="21" spans="1:15">
      <c r="A21" s="50" t="s">
        <v>45</v>
      </c>
      <c r="B21" s="50" t="s">
        <v>25</v>
      </c>
      <c r="C21" s="51">
        <v>5000000</v>
      </c>
      <c r="D21" s="52">
        <v>0.05</v>
      </c>
      <c r="E21" s="46">
        <f t="shared" si="2"/>
        <v>250000</v>
      </c>
      <c r="F21" s="50" t="s">
        <v>26</v>
      </c>
      <c r="G21" s="53">
        <v>1</v>
      </c>
      <c r="H21" s="50" t="s">
        <v>18</v>
      </c>
      <c r="I21" s="50" t="s">
        <v>19</v>
      </c>
      <c r="J21" s="54">
        <v>46288</v>
      </c>
      <c r="K21" s="50" t="s">
        <v>20</v>
      </c>
      <c r="L21" s="50" t="s">
        <v>21</v>
      </c>
      <c r="M21" s="54"/>
      <c r="N21" s="50"/>
      <c r="O21" s="50"/>
    </row>
    <row r="22" spans="1:15">
      <c r="A22" s="45" t="s">
        <v>46</v>
      </c>
      <c r="B22" s="45" t="s">
        <v>16</v>
      </c>
      <c r="C22" s="46">
        <v>1000000</v>
      </c>
      <c r="D22" s="47">
        <v>0.03</v>
      </c>
      <c r="E22" s="46">
        <f t="shared" si="2"/>
        <v>30000</v>
      </c>
      <c r="F22" s="45" t="s">
        <v>26</v>
      </c>
      <c r="G22" s="48">
        <v>1</v>
      </c>
      <c r="H22" s="45" t="s">
        <v>39</v>
      </c>
      <c r="I22" s="45" t="s">
        <v>19</v>
      </c>
      <c r="J22" s="49">
        <v>46288</v>
      </c>
      <c r="K22" s="45" t="s">
        <v>26</v>
      </c>
      <c r="L22" s="45" t="s">
        <v>32</v>
      </c>
      <c r="M22" s="49"/>
      <c r="N22" s="45"/>
      <c r="O22" s="45"/>
    </row>
    <row r="23" spans="1:15">
      <c r="A23" s="45" t="s">
        <v>46</v>
      </c>
      <c r="B23" s="50" t="s">
        <v>29</v>
      </c>
      <c r="C23" s="51">
        <v>3000000</v>
      </c>
      <c r="D23" s="52">
        <v>0.03</v>
      </c>
      <c r="E23" s="46">
        <f t="shared" si="2"/>
        <v>90000</v>
      </c>
      <c r="F23" s="50" t="s">
        <v>26</v>
      </c>
      <c r="G23" s="53">
        <v>1</v>
      </c>
      <c r="H23" s="50" t="s">
        <v>39</v>
      </c>
      <c r="I23" s="50" t="s">
        <v>19</v>
      </c>
      <c r="J23" s="54">
        <v>46288</v>
      </c>
      <c r="K23" s="50" t="s">
        <v>26</v>
      </c>
      <c r="L23" s="50" t="s">
        <v>32</v>
      </c>
      <c r="M23" s="54"/>
      <c r="N23" s="50"/>
      <c r="O23" s="50"/>
    </row>
    <row r="24" spans="1:15">
      <c r="A24" s="45" t="s">
        <v>47</v>
      </c>
      <c r="B24" s="45" t="s">
        <v>16</v>
      </c>
      <c r="C24" s="46">
        <v>1000000</v>
      </c>
      <c r="D24" s="47">
        <v>2.5000000000000001E-2</v>
      </c>
      <c r="E24" s="46">
        <f t="shared" si="2"/>
        <v>25000</v>
      </c>
      <c r="F24" s="45" t="s">
        <v>48</v>
      </c>
      <c r="G24" s="48">
        <v>1</v>
      </c>
      <c r="H24" s="45" t="s">
        <v>37</v>
      </c>
      <c r="I24" s="45" t="s">
        <v>35</v>
      </c>
      <c r="J24" s="49">
        <v>46288</v>
      </c>
      <c r="K24" s="45" t="s">
        <v>20</v>
      </c>
      <c r="L24" s="45" t="s">
        <v>36</v>
      </c>
      <c r="M24" s="49"/>
      <c r="N24" s="45"/>
      <c r="O24" s="45"/>
    </row>
    <row r="25" spans="1:15">
      <c r="A25" s="50" t="s">
        <v>49</v>
      </c>
      <c r="B25" s="50" t="s">
        <v>16</v>
      </c>
      <c r="C25" s="51">
        <v>500000</v>
      </c>
      <c r="D25" s="52">
        <v>0.02</v>
      </c>
      <c r="E25" s="46">
        <f t="shared" si="2"/>
        <v>10000</v>
      </c>
      <c r="F25" s="50" t="s">
        <v>26</v>
      </c>
      <c r="G25" s="53">
        <v>1</v>
      </c>
      <c r="H25" s="50" t="s">
        <v>23</v>
      </c>
      <c r="I25" s="50" t="s">
        <v>19</v>
      </c>
      <c r="J25" s="54">
        <v>46288</v>
      </c>
      <c r="K25" s="50" t="s">
        <v>20</v>
      </c>
      <c r="L25" s="50" t="s">
        <v>21</v>
      </c>
      <c r="M25" s="54"/>
      <c r="N25" s="50"/>
      <c r="O25" s="50"/>
    </row>
    <row r="26" spans="1:15">
      <c r="A26" s="45" t="s">
        <v>50</v>
      </c>
      <c r="B26" s="45" t="s">
        <v>16</v>
      </c>
      <c r="C26" s="46">
        <v>500000</v>
      </c>
      <c r="D26" s="47">
        <v>0.02</v>
      </c>
      <c r="E26" s="46">
        <f t="shared" si="2"/>
        <v>10000</v>
      </c>
      <c r="F26" s="45" t="s">
        <v>17</v>
      </c>
      <c r="G26" s="48">
        <v>1</v>
      </c>
      <c r="H26" s="45" t="s">
        <v>23</v>
      </c>
      <c r="I26" s="45" t="s">
        <v>19</v>
      </c>
      <c r="J26" s="49">
        <v>46288</v>
      </c>
      <c r="K26" s="45" t="s">
        <v>20</v>
      </c>
      <c r="L26" s="45" t="s">
        <v>21</v>
      </c>
      <c r="M26" s="49"/>
      <c r="N26" s="45"/>
      <c r="O26" s="45"/>
    </row>
    <row r="27" spans="1:15">
      <c r="A27" s="50" t="s">
        <v>51</v>
      </c>
      <c r="B27" s="50" t="s">
        <v>16</v>
      </c>
      <c r="C27" s="51">
        <v>1000000</v>
      </c>
      <c r="D27" s="52">
        <v>0.02</v>
      </c>
      <c r="E27" s="46">
        <f t="shared" si="2"/>
        <v>20000</v>
      </c>
      <c r="F27" s="50" t="s">
        <v>48</v>
      </c>
      <c r="G27" s="53">
        <v>1</v>
      </c>
      <c r="H27" s="50" t="s">
        <v>23</v>
      </c>
      <c r="I27" s="50" t="s">
        <v>19</v>
      </c>
      <c r="J27" s="54">
        <v>46288</v>
      </c>
      <c r="K27" s="50" t="s">
        <v>20</v>
      </c>
      <c r="L27" s="50" t="s">
        <v>32</v>
      </c>
      <c r="M27" s="54"/>
      <c r="N27" s="50"/>
      <c r="O27" s="50"/>
    </row>
    <row r="28" spans="1:15" s="117" customFormat="1">
      <c r="A28" s="45" t="s">
        <v>52</v>
      </c>
      <c r="B28" s="45" t="s">
        <v>16</v>
      </c>
      <c r="C28" s="46">
        <v>1000000</v>
      </c>
      <c r="D28" s="47">
        <v>0.02</v>
      </c>
      <c r="E28" s="46">
        <f t="shared" ref="E28" si="6">D28*C28</f>
        <v>20000</v>
      </c>
      <c r="F28" s="45" t="s">
        <v>17</v>
      </c>
      <c r="G28" s="48">
        <v>1</v>
      </c>
      <c r="H28" s="45" t="s">
        <v>18</v>
      </c>
      <c r="I28" s="45" t="s">
        <v>19</v>
      </c>
      <c r="J28" s="49">
        <v>46288</v>
      </c>
      <c r="K28" s="45" t="s">
        <v>20</v>
      </c>
      <c r="L28" s="45" t="s">
        <v>32</v>
      </c>
      <c r="M28" s="54"/>
      <c r="N28" s="50"/>
      <c r="O28" s="50"/>
    </row>
    <row r="29" spans="1:15">
      <c r="A29" s="45" t="s">
        <v>52</v>
      </c>
      <c r="B29" s="45" t="s">
        <v>16</v>
      </c>
      <c r="C29" s="46">
        <v>1000000</v>
      </c>
      <c r="D29" s="47">
        <v>0.02</v>
      </c>
      <c r="E29" s="46">
        <f t="shared" si="2"/>
        <v>20000</v>
      </c>
      <c r="F29" s="45" t="s">
        <v>17</v>
      </c>
      <c r="G29" s="48">
        <v>1</v>
      </c>
      <c r="H29" s="45" t="s">
        <v>23</v>
      </c>
      <c r="I29" s="45" t="s">
        <v>19</v>
      </c>
      <c r="J29" s="49">
        <v>46288</v>
      </c>
      <c r="K29" s="45" t="s">
        <v>20</v>
      </c>
      <c r="L29" s="45" t="s">
        <v>32</v>
      </c>
      <c r="M29" s="49"/>
      <c r="N29" s="45"/>
      <c r="O29" s="45"/>
    </row>
    <row r="30" spans="1:15" s="117" customFormat="1">
      <c r="A30" s="45" t="s">
        <v>52</v>
      </c>
      <c r="B30" s="45" t="s">
        <v>16</v>
      </c>
      <c r="C30" s="46">
        <v>500000</v>
      </c>
      <c r="D30" s="47">
        <v>0.02</v>
      </c>
      <c r="E30" s="46">
        <f t="shared" ref="E30" si="7">D30*C30</f>
        <v>10000</v>
      </c>
      <c r="F30" s="45" t="s">
        <v>17</v>
      </c>
      <c r="G30" s="48">
        <v>1</v>
      </c>
      <c r="H30" s="45" t="s">
        <v>53</v>
      </c>
      <c r="I30" s="45" t="s">
        <v>19</v>
      </c>
      <c r="J30" s="49">
        <v>46288</v>
      </c>
      <c r="K30" s="45" t="s">
        <v>20</v>
      </c>
      <c r="L30" s="45" t="s">
        <v>21</v>
      </c>
      <c r="M30" s="49"/>
      <c r="N30" s="45"/>
      <c r="O30" s="45"/>
    </row>
    <row r="31" spans="1:15">
      <c r="A31" s="50" t="s">
        <v>54</v>
      </c>
      <c r="B31" s="50" t="s">
        <v>55</v>
      </c>
      <c r="C31" s="51">
        <v>1000000</v>
      </c>
      <c r="D31" s="52">
        <v>0.02</v>
      </c>
      <c r="E31" s="46">
        <f t="shared" si="2"/>
        <v>20000</v>
      </c>
      <c r="F31" s="50" t="s">
        <v>17</v>
      </c>
      <c r="G31" s="53">
        <v>1</v>
      </c>
      <c r="H31" s="50" t="s">
        <v>18</v>
      </c>
      <c r="I31" s="50" t="s">
        <v>56</v>
      </c>
      <c r="J31" s="54">
        <v>46288</v>
      </c>
      <c r="K31" s="50" t="s">
        <v>20</v>
      </c>
      <c r="L31" s="50" t="s">
        <v>32</v>
      </c>
      <c r="M31" s="54"/>
      <c r="N31" s="50"/>
      <c r="O31" s="50"/>
    </row>
    <row r="32" spans="1:15">
      <c r="A32" s="45" t="s">
        <v>57</v>
      </c>
      <c r="B32" s="45" t="s">
        <v>25</v>
      </c>
      <c r="C32" s="46">
        <v>10000000</v>
      </c>
      <c r="D32" s="47">
        <v>0.03</v>
      </c>
      <c r="E32" s="46">
        <f t="shared" si="2"/>
        <v>300000</v>
      </c>
      <c r="F32" s="45" t="s">
        <v>26</v>
      </c>
      <c r="G32" s="48">
        <v>1</v>
      </c>
      <c r="H32" s="45" t="s">
        <v>58</v>
      </c>
      <c r="I32" s="45" t="s">
        <v>59</v>
      </c>
      <c r="J32" s="49">
        <v>46288</v>
      </c>
      <c r="K32" s="45" t="s">
        <v>20</v>
      </c>
      <c r="L32" s="45" t="s">
        <v>32</v>
      </c>
      <c r="M32" s="49"/>
      <c r="N32" s="45"/>
      <c r="O32" s="45"/>
    </row>
    <row r="33" spans="1:15">
      <c r="A33" s="50" t="s">
        <v>60</v>
      </c>
      <c r="B33" s="50" t="s">
        <v>16</v>
      </c>
      <c r="C33" s="51">
        <v>1000000</v>
      </c>
      <c r="D33" s="52">
        <v>0.02</v>
      </c>
      <c r="E33" s="46">
        <f t="shared" si="2"/>
        <v>20000</v>
      </c>
      <c r="F33" s="50" t="s">
        <v>26</v>
      </c>
      <c r="G33" s="53">
        <v>1</v>
      </c>
      <c r="H33" s="50" t="s">
        <v>39</v>
      </c>
      <c r="I33" s="50" t="s">
        <v>19</v>
      </c>
      <c r="J33" s="54">
        <v>46288</v>
      </c>
      <c r="K33" s="50" t="s">
        <v>26</v>
      </c>
      <c r="L33" s="50" t="s">
        <v>32</v>
      </c>
      <c r="M33" s="54"/>
      <c r="N33" s="50"/>
      <c r="O33" s="50"/>
    </row>
    <row r="34" spans="1:15">
      <c r="A34" s="45" t="s">
        <v>61</v>
      </c>
      <c r="B34" s="45" t="s">
        <v>29</v>
      </c>
      <c r="C34" s="46">
        <v>30000000</v>
      </c>
      <c r="D34" s="47">
        <v>0.02</v>
      </c>
      <c r="E34" s="46">
        <f t="shared" si="2"/>
        <v>600000</v>
      </c>
      <c r="F34" s="45" t="s">
        <v>26</v>
      </c>
      <c r="G34" s="48">
        <v>1</v>
      </c>
      <c r="H34" s="45" t="s">
        <v>39</v>
      </c>
      <c r="I34" s="45" t="s">
        <v>19</v>
      </c>
      <c r="J34" s="49">
        <v>46288</v>
      </c>
      <c r="K34" s="45" t="s">
        <v>26</v>
      </c>
      <c r="L34" s="45" t="s">
        <v>32</v>
      </c>
      <c r="M34" s="49"/>
      <c r="N34" s="45"/>
      <c r="O34" s="45"/>
    </row>
    <row r="35" spans="1:15">
      <c r="A35" s="50" t="s">
        <v>62</v>
      </c>
      <c r="B35" s="50" t="s">
        <v>16</v>
      </c>
      <c r="C35" s="51">
        <v>500000</v>
      </c>
      <c r="D35" s="52">
        <v>0.02</v>
      </c>
      <c r="E35" s="46">
        <f t="shared" si="2"/>
        <v>10000</v>
      </c>
      <c r="F35" s="50" t="s">
        <v>26</v>
      </c>
      <c r="G35" s="53">
        <v>1</v>
      </c>
      <c r="H35" s="50" t="s">
        <v>39</v>
      </c>
      <c r="I35" s="50" t="s">
        <v>19</v>
      </c>
      <c r="J35" s="54">
        <v>46288</v>
      </c>
      <c r="K35" s="50" t="s">
        <v>26</v>
      </c>
      <c r="L35" s="50" t="s">
        <v>32</v>
      </c>
      <c r="M35" s="54"/>
      <c r="N35" s="50"/>
      <c r="O35" s="50"/>
    </row>
    <row r="36" spans="1:15">
      <c r="A36" s="45" t="s">
        <v>63</v>
      </c>
      <c r="B36" s="45" t="s">
        <v>29</v>
      </c>
      <c r="C36" s="46">
        <v>20000000</v>
      </c>
      <c r="D36" s="47">
        <v>0.02</v>
      </c>
      <c r="E36" s="46">
        <f t="shared" si="2"/>
        <v>400000</v>
      </c>
      <c r="F36" s="45" t="s">
        <v>26</v>
      </c>
      <c r="G36" s="48">
        <v>1</v>
      </c>
      <c r="H36" s="45" t="s">
        <v>39</v>
      </c>
      <c r="I36" s="45" t="s">
        <v>19</v>
      </c>
      <c r="J36" s="49">
        <v>46288</v>
      </c>
      <c r="K36" s="45" t="s">
        <v>26</v>
      </c>
      <c r="L36" s="45" t="s">
        <v>32</v>
      </c>
      <c r="M36" s="49"/>
      <c r="N36" s="45"/>
      <c r="O36" s="45"/>
    </row>
    <row r="37" spans="1:15">
      <c r="A37" s="50" t="s">
        <v>64</v>
      </c>
      <c r="B37" s="50" t="s">
        <v>16</v>
      </c>
      <c r="C37" s="51">
        <v>500000</v>
      </c>
      <c r="D37" s="52">
        <v>0.02</v>
      </c>
      <c r="E37" s="46">
        <f t="shared" si="2"/>
        <v>10000</v>
      </c>
      <c r="F37" s="50" t="s">
        <v>26</v>
      </c>
      <c r="G37" s="53">
        <v>1</v>
      </c>
      <c r="H37" s="50" t="s">
        <v>39</v>
      </c>
      <c r="I37" s="50" t="s">
        <v>19</v>
      </c>
      <c r="J37" s="54">
        <v>46288</v>
      </c>
      <c r="K37" s="50" t="s">
        <v>26</v>
      </c>
      <c r="L37" s="50" t="s">
        <v>32</v>
      </c>
      <c r="M37" s="54"/>
      <c r="N37" s="50"/>
      <c r="O37" s="50"/>
    </row>
    <row r="38" spans="1:15">
      <c r="A38" s="45"/>
      <c r="B38" s="45"/>
      <c r="C38" s="46"/>
      <c r="D38" s="47"/>
      <c r="E38" s="46">
        <f t="shared" si="2"/>
        <v>0</v>
      </c>
      <c r="F38" s="45"/>
      <c r="G38" s="48"/>
      <c r="H38" s="45"/>
      <c r="I38" s="45"/>
      <c r="J38" s="49"/>
      <c r="K38" s="45"/>
      <c r="L38" s="45"/>
      <c r="M38" s="49"/>
      <c r="N38" s="45"/>
      <c r="O38" s="45"/>
    </row>
    <row r="39" spans="1:15">
      <c r="A39" s="50"/>
      <c r="B39" s="50"/>
      <c r="C39" s="51"/>
      <c r="D39" s="52"/>
      <c r="E39" s="46">
        <f t="shared" si="2"/>
        <v>0</v>
      </c>
      <c r="F39" s="50"/>
      <c r="G39" s="53"/>
      <c r="H39" s="50"/>
      <c r="I39" s="50"/>
      <c r="J39" s="54"/>
      <c r="K39" s="50"/>
      <c r="L39" s="50"/>
      <c r="M39" s="54"/>
      <c r="N39" s="50"/>
      <c r="O39" s="50"/>
    </row>
    <row r="40" spans="1:15">
      <c r="A40" s="45"/>
      <c r="B40" s="45"/>
      <c r="C40" s="46"/>
      <c r="D40" s="47"/>
      <c r="E40" s="46">
        <f t="shared" si="2"/>
        <v>0</v>
      </c>
      <c r="F40" s="45"/>
      <c r="G40" s="48"/>
      <c r="H40" s="45"/>
      <c r="I40" s="45"/>
      <c r="J40" s="49"/>
      <c r="K40" s="45"/>
      <c r="L40" s="45"/>
      <c r="M40" s="49"/>
      <c r="N40" s="45"/>
      <c r="O40" s="45"/>
    </row>
    <row r="41" spans="1:15">
      <c r="A41" s="50"/>
      <c r="B41" s="50"/>
      <c r="C41" s="51"/>
      <c r="D41" s="52"/>
      <c r="E41" s="46">
        <f t="shared" si="2"/>
        <v>0</v>
      </c>
      <c r="F41" s="50"/>
      <c r="G41" s="53"/>
      <c r="H41" s="50"/>
      <c r="I41" s="50"/>
      <c r="J41" s="54"/>
      <c r="K41" s="50"/>
      <c r="L41" s="50"/>
      <c r="M41" s="54"/>
      <c r="N41" s="50"/>
      <c r="O41" s="50"/>
    </row>
    <row r="42" spans="1:15">
      <c r="A42" s="45"/>
      <c r="B42" s="45"/>
      <c r="C42" s="46"/>
      <c r="D42" s="47"/>
      <c r="E42" s="46">
        <f t="shared" si="2"/>
        <v>0</v>
      </c>
      <c r="F42" s="45"/>
      <c r="G42" s="48"/>
      <c r="H42" s="45"/>
      <c r="I42" s="45"/>
      <c r="J42" s="49"/>
      <c r="K42" s="45"/>
      <c r="L42" s="45"/>
      <c r="M42" s="49"/>
      <c r="N42" s="45"/>
      <c r="O42" s="45"/>
    </row>
    <row r="43" spans="1:15">
      <c r="A43" s="50"/>
      <c r="B43" s="50"/>
      <c r="C43" s="51"/>
      <c r="D43" s="52"/>
      <c r="E43" s="46">
        <f t="shared" si="2"/>
        <v>0</v>
      </c>
      <c r="F43" s="50"/>
      <c r="G43" s="53"/>
      <c r="H43" s="50"/>
      <c r="I43" s="50"/>
      <c r="J43" s="54"/>
      <c r="K43" s="50"/>
      <c r="L43" s="50"/>
      <c r="M43" s="54"/>
      <c r="N43" s="50"/>
      <c r="O43" s="50"/>
    </row>
    <row r="44" spans="1:15">
      <c r="A44" s="45"/>
      <c r="B44" s="45"/>
      <c r="C44" s="46"/>
      <c r="D44" s="47"/>
      <c r="E44" s="46">
        <f t="shared" si="2"/>
        <v>0</v>
      </c>
      <c r="F44" s="45"/>
      <c r="G44" s="48"/>
      <c r="H44" s="45"/>
      <c r="I44" s="45"/>
      <c r="J44" s="49"/>
      <c r="K44" s="45"/>
      <c r="L44" s="45"/>
      <c r="M44" s="49"/>
      <c r="N44" s="45"/>
      <c r="O44" s="45"/>
    </row>
    <row r="45" spans="1:15">
      <c r="A45" s="50"/>
      <c r="B45" s="50"/>
      <c r="C45" s="51"/>
      <c r="D45" s="52"/>
      <c r="E45" s="46">
        <f t="shared" si="2"/>
        <v>0</v>
      </c>
      <c r="F45" s="50"/>
      <c r="G45" s="53"/>
      <c r="H45" s="50"/>
      <c r="I45" s="50"/>
      <c r="J45" s="54"/>
      <c r="K45" s="50"/>
      <c r="L45" s="50"/>
      <c r="M45" s="54"/>
      <c r="N45" s="50"/>
      <c r="O45" s="50"/>
    </row>
    <row r="46" spans="1:15">
      <c r="A46" s="45"/>
      <c r="B46" s="45"/>
      <c r="C46" s="46"/>
      <c r="D46" s="47"/>
      <c r="E46" s="46">
        <f t="shared" si="2"/>
        <v>0</v>
      </c>
      <c r="F46" s="45"/>
      <c r="G46" s="48"/>
      <c r="H46" s="45"/>
      <c r="I46" s="45"/>
      <c r="J46" s="49"/>
      <c r="K46" s="45"/>
      <c r="L46" s="45"/>
      <c r="M46" s="49"/>
      <c r="N46" s="45"/>
      <c r="O46" s="45"/>
    </row>
    <row r="47" spans="1:15">
      <c r="A47" s="50"/>
      <c r="B47" s="50"/>
      <c r="C47" s="51"/>
      <c r="D47" s="52"/>
      <c r="E47" s="46">
        <f t="shared" si="2"/>
        <v>0</v>
      </c>
      <c r="F47" s="50"/>
      <c r="G47" s="53"/>
      <c r="H47" s="50"/>
      <c r="I47" s="50"/>
      <c r="J47" s="54"/>
      <c r="K47" s="50"/>
      <c r="L47" s="50"/>
      <c r="M47" s="54"/>
      <c r="N47" s="50"/>
      <c r="O47" s="50"/>
    </row>
    <row r="48" spans="1:15">
      <c r="A48" s="45"/>
      <c r="B48" s="45"/>
      <c r="C48" s="46"/>
      <c r="D48" s="47"/>
      <c r="E48" s="46">
        <f t="shared" si="2"/>
        <v>0</v>
      </c>
      <c r="F48" s="45"/>
      <c r="G48" s="48"/>
      <c r="H48" s="45"/>
      <c r="I48" s="45"/>
      <c r="J48" s="49"/>
      <c r="K48" s="45"/>
      <c r="L48" s="45"/>
      <c r="M48" s="49"/>
      <c r="N48" s="45"/>
      <c r="O48" s="45"/>
    </row>
    <row r="49" spans="1:15">
      <c r="A49" s="50"/>
      <c r="B49" s="50"/>
      <c r="C49" s="51"/>
      <c r="D49" s="52"/>
      <c r="E49" s="46">
        <f t="shared" si="2"/>
        <v>0</v>
      </c>
      <c r="F49" s="50"/>
      <c r="G49" s="53"/>
      <c r="H49" s="50"/>
      <c r="I49" s="50"/>
      <c r="J49" s="54"/>
      <c r="K49" s="50"/>
      <c r="L49" s="50"/>
      <c r="M49" s="54"/>
      <c r="N49" s="50"/>
      <c r="O49" s="50"/>
    </row>
    <row r="50" spans="1:15">
      <c r="A50" s="45"/>
      <c r="B50" s="45"/>
      <c r="C50" s="46"/>
      <c r="D50" s="47"/>
      <c r="E50" s="46">
        <f t="shared" si="2"/>
        <v>0</v>
      </c>
      <c r="F50" s="45"/>
      <c r="G50" s="48"/>
      <c r="H50" s="45"/>
      <c r="I50" s="45"/>
      <c r="J50" s="49"/>
      <c r="K50" s="45"/>
      <c r="L50" s="45"/>
      <c r="M50" s="49"/>
      <c r="N50" s="45"/>
      <c r="O50" s="45"/>
    </row>
    <row r="51" spans="1:15">
      <c r="A51" s="50"/>
      <c r="B51" s="50"/>
      <c r="C51" s="51"/>
      <c r="D51" s="52"/>
      <c r="E51" s="46">
        <f t="shared" si="2"/>
        <v>0</v>
      </c>
      <c r="F51" s="50"/>
      <c r="G51" s="53"/>
      <c r="H51" s="50"/>
      <c r="I51" s="50"/>
      <c r="J51" s="54"/>
      <c r="K51" s="50"/>
      <c r="L51" s="50"/>
      <c r="M51" s="54"/>
      <c r="N51" s="50"/>
      <c r="O51" s="50"/>
    </row>
    <row r="52" spans="1:15">
      <c r="A52" s="45"/>
      <c r="B52" s="45"/>
      <c r="C52" s="46"/>
      <c r="D52" s="47"/>
      <c r="E52" s="46">
        <f t="shared" si="2"/>
        <v>0</v>
      </c>
      <c r="F52" s="45"/>
      <c r="G52" s="48"/>
      <c r="H52" s="45"/>
      <c r="I52" s="45"/>
      <c r="J52" s="49"/>
      <c r="K52" s="45"/>
      <c r="L52" s="45"/>
      <c r="M52" s="49"/>
      <c r="N52" s="45"/>
      <c r="O52" s="45"/>
    </row>
    <row r="53" spans="1:15">
      <c r="A53" s="50"/>
      <c r="B53" s="50"/>
      <c r="C53" s="51"/>
      <c r="D53" s="52"/>
      <c r="E53" s="46">
        <f t="shared" si="2"/>
        <v>0</v>
      </c>
      <c r="F53" s="50"/>
      <c r="G53" s="53"/>
      <c r="H53" s="50"/>
      <c r="I53" s="50"/>
      <c r="J53" s="54"/>
      <c r="K53" s="50"/>
      <c r="L53" s="50"/>
      <c r="M53" s="54"/>
      <c r="N53" s="50"/>
      <c r="O53" s="50"/>
    </row>
    <row r="54" spans="1:15">
      <c r="A54" s="45"/>
      <c r="B54" s="45"/>
      <c r="C54" s="46"/>
      <c r="D54" s="47"/>
      <c r="E54" s="46">
        <f t="shared" si="2"/>
        <v>0</v>
      </c>
      <c r="F54" s="45"/>
      <c r="G54" s="48"/>
      <c r="H54" s="45"/>
      <c r="I54" s="45"/>
      <c r="J54" s="49"/>
      <c r="K54" s="45"/>
      <c r="L54" s="45"/>
      <c r="M54" s="49"/>
      <c r="N54" s="45"/>
      <c r="O54" s="45"/>
    </row>
    <row r="55" spans="1:15">
      <c r="A55" s="50"/>
      <c r="B55" s="50"/>
      <c r="C55" s="51"/>
      <c r="D55" s="52"/>
      <c r="E55" s="46">
        <f t="shared" ref="E55:E118" si="8">D55*C55</f>
        <v>0</v>
      </c>
      <c r="F55" s="50"/>
      <c r="G55" s="53"/>
      <c r="H55" s="50"/>
      <c r="I55" s="50"/>
      <c r="J55" s="54"/>
      <c r="K55" s="50"/>
      <c r="L55" s="50"/>
      <c r="M55" s="54"/>
      <c r="N55" s="50"/>
      <c r="O55" s="50"/>
    </row>
    <row r="56" spans="1:15">
      <c r="A56" s="45"/>
      <c r="B56" s="45"/>
      <c r="C56" s="46"/>
      <c r="D56" s="47"/>
      <c r="E56" s="46">
        <f t="shared" si="8"/>
        <v>0</v>
      </c>
      <c r="F56" s="45"/>
      <c r="G56" s="48"/>
      <c r="H56" s="45"/>
      <c r="I56" s="45"/>
      <c r="J56" s="49"/>
      <c r="K56" s="45"/>
      <c r="L56" s="45"/>
      <c r="M56" s="49"/>
      <c r="N56" s="45"/>
      <c r="O56" s="45"/>
    </row>
    <row r="57" spans="1:15">
      <c r="A57" s="50"/>
      <c r="B57" s="50"/>
      <c r="C57" s="51"/>
      <c r="D57" s="52"/>
      <c r="E57" s="46">
        <f t="shared" si="8"/>
        <v>0</v>
      </c>
      <c r="F57" s="50"/>
      <c r="G57" s="53"/>
      <c r="H57" s="50"/>
      <c r="I57" s="50"/>
      <c r="J57" s="54"/>
      <c r="K57" s="50"/>
      <c r="L57" s="50"/>
      <c r="M57" s="54"/>
      <c r="N57" s="50"/>
      <c r="O57" s="50"/>
    </row>
    <row r="58" spans="1:15">
      <c r="A58" s="45"/>
      <c r="B58" s="45"/>
      <c r="C58" s="46"/>
      <c r="D58" s="47"/>
      <c r="E58" s="46">
        <f t="shared" si="8"/>
        <v>0</v>
      </c>
      <c r="F58" s="45"/>
      <c r="G58" s="48"/>
      <c r="H58" s="45"/>
      <c r="I58" s="45"/>
      <c r="J58" s="49"/>
      <c r="K58" s="45"/>
      <c r="L58" s="45"/>
      <c r="M58" s="49"/>
      <c r="N58" s="45"/>
      <c r="O58" s="45"/>
    </row>
    <row r="59" spans="1:15">
      <c r="A59" s="50"/>
      <c r="B59" s="50"/>
      <c r="C59" s="51"/>
      <c r="D59" s="52"/>
      <c r="E59" s="46">
        <f t="shared" si="8"/>
        <v>0</v>
      </c>
      <c r="F59" s="50"/>
      <c r="G59" s="53"/>
      <c r="H59" s="50"/>
      <c r="I59" s="50"/>
      <c r="J59" s="54"/>
      <c r="K59" s="50"/>
      <c r="L59" s="50"/>
      <c r="M59" s="54"/>
      <c r="N59" s="50"/>
      <c r="O59" s="50"/>
    </row>
    <row r="60" spans="1:15">
      <c r="A60" s="45"/>
      <c r="B60" s="45"/>
      <c r="C60" s="46"/>
      <c r="D60" s="47"/>
      <c r="E60" s="46">
        <f t="shared" si="8"/>
        <v>0</v>
      </c>
      <c r="F60" s="45"/>
      <c r="G60" s="48"/>
      <c r="H60" s="45"/>
      <c r="I60" s="45"/>
      <c r="J60" s="49"/>
      <c r="K60" s="45"/>
      <c r="L60" s="45"/>
      <c r="M60" s="49"/>
      <c r="N60" s="45"/>
      <c r="O60" s="45"/>
    </row>
    <row r="61" spans="1:15">
      <c r="A61" s="50"/>
      <c r="B61" s="50"/>
      <c r="C61" s="51"/>
      <c r="D61" s="52"/>
      <c r="E61" s="46">
        <f t="shared" si="8"/>
        <v>0</v>
      </c>
      <c r="F61" s="50"/>
      <c r="G61" s="53"/>
      <c r="H61" s="50"/>
      <c r="I61" s="50"/>
      <c r="J61" s="54"/>
      <c r="K61" s="50"/>
      <c r="L61" s="50"/>
      <c r="M61" s="54"/>
      <c r="N61" s="50"/>
      <c r="O61" s="50"/>
    </row>
    <row r="62" spans="1:15">
      <c r="A62" s="45"/>
      <c r="B62" s="45"/>
      <c r="C62" s="46"/>
      <c r="D62" s="47"/>
      <c r="E62" s="46">
        <f t="shared" si="8"/>
        <v>0</v>
      </c>
      <c r="F62" s="45"/>
      <c r="G62" s="48"/>
      <c r="H62" s="45"/>
      <c r="I62" s="45"/>
      <c r="J62" s="49"/>
      <c r="K62" s="45"/>
      <c r="L62" s="45"/>
      <c r="M62" s="49"/>
      <c r="N62" s="45"/>
      <c r="O62" s="45"/>
    </row>
    <row r="63" spans="1:15">
      <c r="A63" s="50"/>
      <c r="B63" s="50"/>
      <c r="C63" s="51"/>
      <c r="D63" s="52"/>
      <c r="E63" s="46">
        <f t="shared" si="8"/>
        <v>0</v>
      </c>
      <c r="F63" s="50"/>
      <c r="G63" s="53"/>
      <c r="H63" s="50"/>
      <c r="I63" s="50"/>
      <c r="J63" s="54"/>
      <c r="K63" s="50"/>
      <c r="L63" s="50"/>
      <c r="M63" s="54"/>
      <c r="N63" s="50"/>
      <c r="O63" s="50"/>
    </row>
    <row r="64" spans="1:15">
      <c r="A64" s="45"/>
      <c r="B64" s="45"/>
      <c r="C64" s="46"/>
      <c r="D64" s="47"/>
      <c r="E64" s="46">
        <f t="shared" si="8"/>
        <v>0</v>
      </c>
      <c r="F64" s="45"/>
      <c r="G64" s="48"/>
      <c r="H64" s="45"/>
      <c r="I64" s="45"/>
      <c r="J64" s="49"/>
      <c r="K64" s="45"/>
      <c r="L64" s="45"/>
      <c r="M64" s="49"/>
      <c r="N64" s="45"/>
      <c r="O64" s="45"/>
    </row>
    <row r="65" spans="1:15">
      <c r="A65" s="50"/>
      <c r="B65" s="50"/>
      <c r="C65" s="51"/>
      <c r="D65" s="52"/>
      <c r="E65" s="46">
        <f t="shared" si="8"/>
        <v>0</v>
      </c>
      <c r="F65" s="50"/>
      <c r="G65" s="53"/>
      <c r="H65" s="50"/>
      <c r="I65" s="50"/>
      <c r="J65" s="54"/>
      <c r="K65" s="50"/>
      <c r="L65" s="50"/>
      <c r="M65" s="54"/>
      <c r="N65" s="50"/>
      <c r="O65" s="50"/>
    </row>
    <row r="66" spans="1:15">
      <c r="A66" s="45"/>
      <c r="B66" s="45"/>
      <c r="C66" s="46"/>
      <c r="D66" s="47"/>
      <c r="E66" s="46">
        <f t="shared" si="8"/>
        <v>0</v>
      </c>
      <c r="F66" s="45"/>
      <c r="G66" s="48"/>
      <c r="H66" s="45"/>
      <c r="I66" s="45"/>
      <c r="J66" s="49"/>
      <c r="K66" s="45"/>
      <c r="L66" s="45"/>
      <c r="M66" s="49"/>
      <c r="N66" s="45"/>
      <c r="O66" s="45"/>
    </row>
    <row r="67" spans="1:15">
      <c r="A67" s="50"/>
      <c r="B67" s="50"/>
      <c r="C67" s="51"/>
      <c r="D67" s="52"/>
      <c r="E67" s="46">
        <f t="shared" si="8"/>
        <v>0</v>
      </c>
      <c r="F67" s="50"/>
      <c r="G67" s="53"/>
      <c r="H67" s="50"/>
      <c r="I67" s="50"/>
      <c r="J67" s="54"/>
      <c r="K67" s="50"/>
      <c r="L67" s="50"/>
      <c r="M67" s="54"/>
      <c r="N67" s="50"/>
      <c r="O67" s="50"/>
    </row>
    <row r="68" spans="1:15">
      <c r="A68" s="45"/>
      <c r="B68" s="45"/>
      <c r="C68" s="46"/>
      <c r="D68" s="47"/>
      <c r="E68" s="46">
        <f t="shared" si="8"/>
        <v>0</v>
      </c>
      <c r="F68" s="45"/>
      <c r="G68" s="48"/>
      <c r="H68" s="45"/>
      <c r="I68" s="45"/>
      <c r="J68" s="49"/>
      <c r="K68" s="45"/>
      <c r="L68" s="45"/>
      <c r="M68" s="49"/>
      <c r="N68" s="45"/>
      <c r="O68" s="45"/>
    </row>
    <row r="69" spans="1:15">
      <c r="A69" s="50"/>
      <c r="B69" s="50"/>
      <c r="C69" s="51"/>
      <c r="D69" s="52"/>
      <c r="E69" s="46">
        <f t="shared" si="8"/>
        <v>0</v>
      </c>
      <c r="F69" s="50"/>
      <c r="G69" s="53"/>
      <c r="H69" s="50"/>
      <c r="I69" s="50"/>
      <c r="J69" s="54"/>
      <c r="K69" s="50"/>
      <c r="L69" s="50"/>
      <c r="M69" s="54"/>
      <c r="N69" s="50"/>
      <c r="O69" s="50"/>
    </row>
    <row r="70" spans="1:15">
      <c r="A70" s="45"/>
      <c r="B70" s="45"/>
      <c r="C70" s="46"/>
      <c r="D70" s="47"/>
      <c r="E70" s="46">
        <f t="shared" si="8"/>
        <v>0</v>
      </c>
      <c r="F70" s="45"/>
      <c r="G70" s="48"/>
      <c r="H70" s="45"/>
      <c r="I70" s="45"/>
      <c r="J70" s="49"/>
      <c r="K70" s="45"/>
      <c r="L70" s="45"/>
      <c r="M70" s="49"/>
      <c r="N70" s="45"/>
      <c r="O70" s="45"/>
    </row>
    <row r="71" spans="1:15">
      <c r="A71" s="50"/>
      <c r="B71" s="50"/>
      <c r="C71" s="51"/>
      <c r="D71" s="52"/>
      <c r="E71" s="46">
        <f t="shared" si="8"/>
        <v>0</v>
      </c>
      <c r="F71" s="50"/>
      <c r="G71" s="53"/>
      <c r="H71" s="50"/>
      <c r="I71" s="50"/>
      <c r="J71" s="54"/>
      <c r="K71" s="50"/>
      <c r="L71" s="50"/>
      <c r="M71" s="54"/>
      <c r="N71" s="50"/>
      <c r="O71" s="50"/>
    </row>
    <row r="72" spans="1:15">
      <c r="A72" s="45"/>
      <c r="B72" s="45"/>
      <c r="C72" s="46"/>
      <c r="D72" s="47"/>
      <c r="E72" s="46">
        <f t="shared" si="8"/>
        <v>0</v>
      </c>
      <c r="F72" s="45"/>
      <c r="G72" s="48"/>
      <c r="H72" s="45"/>
      <c r="I72" s="45"/>
      <c r="J72" s="49"/>
      <c r="K72" s="45"/>
      <c r="L72" s="45"/>
      <c r="M72" s="49"/>
      <c r="N72" s="45"/>
      <c r="O72" s="45"/>
    </row>
    <row r="73" spans="1:15">
      <c r="A73" s="50"/>
      <c r="B73" s="50"/>
      <c r="C73" s="51"/>
      <c r="D73" s="52"/>
      <c r="E73" s="46">
        <f t="shared" si="8"/>
        <v>0</v>
      </c>
      <c r="F73" s="50"/>
      <c r="G73" s="53"/>
      <c r="H73" s="50"/>
      <c r="I73" s="50"/>
      <c r="J73" s="54"/>
      <c r="K73" s="50"/>
      <c r="L73" s="50"/>
      <c r="M73" s="54"/>
      <c r="N73" s="50"/>
      <c r="O73" s="50"/>
    </row>
    <row r="74" spans="1:15">
      <c r="A74" s="45"/>
      <c r="B74" s="45"/>
      <c r="C74" s="46"/>
      <c r="D74" s="47"/>
      <c r="E74" s="46">
        <f t="shared" si="8"/>
        <v>0</v>
      </c>
      <c r="F74" s="45"/>
      <c r="G74" s="48"/>
      <c r="H74" s="45"/>
      <c r="I74" s="45"/>
      <c r="J74" s="49"/>
      <c r="K74" s="45"/>
      <c r="L74" s="45"/>
      <c r="M74" s="49"/>
      <c r="N74" s="45"/>
      <c r="O74" s="45"/>
    </row>
    <row r="75" spans="1:15">
      <c r="A75" s="50"/>
      <c r="B75" s="50"/>
      <c r="C75" s="51"/>
      <c r="D75" s="52"/>
      <c r="E75" s="46">
        <f t="shared" si="8"/>
        <v>0</v>
      </c>
      <c r="F75" s="50"/>
      <c r="G75" s="53"/>
      <c r="H75" s="50"/>
      <c r="I75" s="50"/>
      <c r="J75" s="54"/>
      <c r="K75" s="50"/>
      <c r="L75" s="50"/>
      <c r="M75" s="54"/>
      <c r="N75" s="50"/>
      <c r="O75" s="50"/>
    </row>
    <row r="76" spans="1:15">
      <c r="A76" s="45"/>
      <c r="B76" s="45"/>
      <c r="C76" s="46"/>
      <c r="D76" s="47"/>
      <c r="E76" s="46">
        <f t="shared" si="8"/>
        <v>0</v>
      </c>
      <c r="F76" s="45"/>
      <c r="G76" s="48"/>
      <c r="H76" s="45"/>
      <c r="I76" s="45"/>
      <c r="J76" s="49"/>
      <c r="K76" s="45"/>
      <c r="L76" s="45"/>
      <c r="M76" s="49"/>
      <c r="N76" s="45"/>
      <c r="O76" s="45"/>
    </row>
    <row r="77" spans="1:15">
      <c r="A77" s="50"/>
      <c r="B77" s="50"/>
      <c r="C77" s="51"/>
      <c r="D77" s="52"/>
      <c r="E77" s="46">
        <f t="shared" si="8"/>
        <v>0</v>
      </c>
      <c r="F77" s="50"/>
      <c r="G77" s="53"/>
      <c r="H77" s="50"/>
      <c r="I77" s="50"/>
      <c r="J77" s="54"/>
      <c r="K77" s="50"/>
      <c r="L77" s="50"/>
      <c r="M77" s="54"/>
      <c r="N77" s="50"/>
      <c r="O77" s="50"/>
    </row>
    <row r="78" spans="1:15">
      <c r="A78" s="45"/>
      <c r="B78" s="45"/>
      <c r="C78" s="46"/>
      <c r="D78" s="47"/>
      <c r="E78" s="46">
        <f t="shared" si="8"/>
        <v>0</v>
      </c>
      <c r="F78" s="45"/>
      <c r="G78" s="48"/>
      <c r="H78" s="45"/>
      <c r="I78" s="45"/>
      <c r="J78" s="49"/>
      <c r="K78" s="45"/>
      <c r="L78" s="45"/>
      <c r="M78" s="49"/>
      <c r="N78" s="45"/>
      <c r="O78" s="45"/>
    </row>
    <row r="79" spans="1:15">
      <c r="A79" s="50"/>
      <c r="B79" s="50"/>
      <c r="C79" s="51"/>
      <c r="D79" s="52"/>
      <c r="E79" s="46">
        <f t="shared" si="8"/>
        <v>0</v>
      </c>
      <c r="F79" s="50"/>
      <c r="G79" s="53"/>
      <c r="H79" s="50"/>
      <c r="I79" s="50"/>
      <c r="J79" s="54"/>
      <c r="K79" s="50"/>
      <c r="L79" s="50"/>
      <c r="M79" s="54"/>
      <c r="N79" s="50"/>
      <c r="O79" s="50"/>
    </row>
    <row r="80" spans="1:15">
      <c r="A80" s="45"/>
      <c r="B80" s="45"/>
      <c r="C80" s="46"/>
      <c r="D80" s="47"/>
      <c r="E80" s="46">
        <f t="shared" si="8"/>
        <v>0</v>
      </c>
      <c r="F80" s="45"/>
      <c r="G80" s="48"/>
      <c r="H80" s="45"/>
      <c r="I80" s="45"/>
      <c r="J80" s="49"/>
      <c r="K80" s="45"/>
      <c r="L80" s="45"/>
      <c r="M80" s="49"/>
      <c r="N80" s="45"/>
      <c r="O80" s="45"/>
    </row>
    <row r="81" spans="1:15">
      <c r="A81" s="50"/>
      <c r="B81" s="50"/>
      <c r="C81" s="51"/>
      <c r="D81" s="52"/>
      <c r="E81" s="46">
        <f t="shared" si="8"/>
        <v>0</v>
      </c>
      <c r="F81" s="50"/>
      <c r="G81" s="53"/>
      <c r="H81" s="50"/>
      <c r="I81" s="50"/>
      <c r="J81" s="54"/>
      <c r="K81" s="50"/>
      <c r="L81" s="50"/>
      <c r="M81" s="54"/>
      <c r="N81" s="50"/>
      <c r="O81" s="50"/>
    </row>
    <row r="82" spans="1:15">
      <c r="A82" s="45"/>
      <c r="B82" s="45"/>
      <c r="C82" s="46"/>
      <c r="D82" s="47"/>
      <c r="E82" s="46">
        <f t="shared" si="8"/>
        <v>0</v>
      </c>
      <c r="F82" s="45"/>
      <c r="G82" s="48"/>
      <c r="H82" s="45"/>
      <c r="I82" s="45"/>
      <c r="J82" s="49"/>
      <c r="K82" s="45"/>
      <c r="L82" s="45"/>
      <c r="M82" s="49"/>
      <c r="N82" s="45"/>
      <c r="O82" s="45"/>
    </row>
    <row r="83" spans="1:15">
      <c r="A83" s="50"/>
      <c r="B83" s="50"/>
      <c r="C83" s="51"/>
      <c r="D83" s="52"/>
      <c r="E83" s="46">
        <f t="shared" si="8"/>
        <v>0</v>
      </c>
      <c r="F83" s="50"/>
      <c r="G83" s="53"/>
      <c r="H83" s="50"/>
      <c r="I83" s="50"/>
      <c r="J83" s="54"/>
      <c r="K83" s="50"/>
      <c r="L83" s="50"/>
      <c r="M83" s="54"/>
      <c r="N83" s="50"/>
      <c r="O83" s="50"/>
    </row>
    <row r="84" spans="1:15">
      <c r="A84" s="45"/>
      <c r="B84" s="45"/>
      <c r="C84" s="46"/>
      <c r="D84" s="47"/>
      <c r="E84" s="46">
        <f t="shared" si="8"/>
        <v>0</v>
      </c>
      <c r="F84" s="45"/>
      <c r="G84" s="48"/>
      <c r="H84" s="45"/>
      <c r="I84" s="45"/>
      <c r="J84" s="49"/>
      <c r="K84" s="45"/>
      <c r="L84" s="45"/>
      <c r="M84" s="49"/>
      <c r="N84" s="45"/>
      <c r="O84" s="45"/>
    </row>
    <row r="85" spans="1:15">
      <c r="A85" s="50"/>
      <c r="B85" s="50"/>
      <c r="C85" s="51"/>
      <c r="D85" s="52"/>
      <c r="E85" s="46">
        <f t="shared" si="8"/>
        <v>0</v>
      </c>
      <c r="F85" s="50"/>
      <c r="G85" s="53"/>
      <c r="H85" s="50"/>
      <c r="I85" s="50"/>
      <c r="J85" s="54"/>
      <c r="K85" s="50"/>
      <c r="L85" s="50"/>
      <c r="M85" s="54"/>
      <c r="N85" s="50"/>
      <c r="O85" s="50"/>
    </row>
    <row r="86" spans="1:15">
      <c r="A86" s="45"/>
      <c r="B86" s="45"/>
      <c r="C86" s="46"/>
      <c r="D86" s="47"/>
      <c r="E86" s="46">
        <f t="shared" si="8"/>
        <v>0</v>
      </c>
      <c r="F86" s="45"/>
      <c r="G86" s="48"/>
      <c r="H86" s="45"/>
      <c r="I86" s="45"/>
      <c r="J86" s="49"/>
      <c r="K86" s="45"/>
      <c r="L86" s="45"/>
      <c r="M86" s="49"/>
      <c r="N86" s="45"/>
      <c r="O86" s="45"/>
    </row>
    <row r="87" spans="1:15">
      <c r="A87" s="50"/>
      <c r="B87" s="50"/>
      <c r="C87" s="51"/>
      <c r="D87" s="52"/>
      <c r="E87" s="46">
        <f t="shared" si="8"/>
        <v>0</v>
      </c>
      <c r="F87" s="50"/>
      <c r="G87" s="53"/>
      <c r="H87" s="50"/>
      <c r="I87" s="50"/>
      <c r="J87" s="54"/>
      <c r="K87" s="50"/>
      <c r="L87" s="50"/>
      <c r="M87" s="54"/>
      <c r="N87" s="50"/>
      <c r="O87" s="50"/>
    </row>
    <row r="88" spans="1:15">
      <c r="A88" s="45"/>
      <c r="B88" s="45"/>
      <c r="C88" s="46"/>
      <c r="D88" s="47"/>
      <c r="E88" s="46">
        <f t="shared" si="8"/>
        <v>0</v>
      </c>
      <c r="F88" s="45"/>
      <c r="G88" s="48"/>
      <c r="H88" s="45"/>
      <c r="I88" s="45"/>
      <c r="J88" s="49"/>
      <c r="K88" s="45"/>
      <c r="L88" s="45"/>
      <c r="M88" s="49"/>
      <c r="N88" s="45"/>
      <c r="O88" s="45"/>
    </row>
    <row r="89" spans="1:15">
      <c r="A89" s="50"/>
      <c r="B89" s="50"/>
      <c r="C89" s="51"/>
      <c r="D89" s="52"/>
      <c r="E89" s="46">
        <f t="shared" si="8"/>
        <v>0</v>
      </c>
      <c r="F89" s="50"/>
      <c r="G89" s="53"/>
      <c r="H89" s="50"/>
      <c r="I89" s="50"/>
      <c r="J89" s="54"/>
      <c r="K89" s="50"/>
      <c r="L89" s="50"/>
      <c r="M89" s="54"/>
      <c r="N89" s="50"/>
      <c r="O89" s="50"/>
    </row>
    <row r="90" spans="1:15">
      <c r="A90" s="45"/>
      <c r="B90" s="45"/>
      <c r="C90" s="46"/>
      <c r="D90" s="47"/>
      <c r="E90" s="46">
        <f t="shared" si="8"/>
        <v>0</v>
      </c>
      <c r="F90" s="45"/>
      <c r="G90" s="48"/>
      <c r="H90" s="45"/>
      <c r="I90" s="45"/>
      <c r="J90" s="49"/>
      <c r="K90" s="45"/>
      <c r="L90" s="45"/>
      <c r="M90" s="49"/>
      <c r="N90" s="45"/>
      <c r="O90" s="45"/>
    </row>
    <row r="91" spans="1:15">
      <c r="A91" s="50"/>
      <c r="B91" s="50"/>
      <c r="C91" s="51"/>
      <c r="D91" s="52"/>
      <c r="E91" s="46">
        <f t="shared" si="8"/>
        <v>0</v>
      </c>
      <c r="F91" s="50"/>
      <c r="G91" s="53"/>
      <c r="H91" s="50"/>
      <c r="I91" s="50"/>
      <c r="J91" s="54"/>
      <c r="K91" s="50"/>
      <c r="L91" s="50"/>
      <c r="M91" s="54"/>
      <c r="N91" s="50"/>
      <c r="O91" s="50"/>
    </row>
    <row r="92" spans="1:15">
      <c r="A92" s="45"/>
      <c r="B92" s="45"/>
      <c r="C92" s="46"/>
      <c r="D92" s="47"/>
      <c r="E92" s="46">
        <f t="shared" si="8"/>
        <v>0</v>
      </c>
      <c r="F92" s="45"/>
      <c r="G92" s="48"/>
      <c r="H92" s="45"/>
      <c r="I92" s="45"/>
      <c r="J92" s="49"/>
      <c r="K92" s="45"/>
      <c r="L92" s="45"/>
      <c r="M92" s="49"/>
      <c r="N92" s="45"/>
      <c r="O92" s="45"/>
    </row>
    <row r="93" spans="1:15">
      <c r="A93" s="50"/>
      <c r="B93" s="50"/>
      <c r="C93" s="51"/>
      <c r="D93" s="52"/>
      <c r="E93" s="46">
        <f t="shared" si="8"/>
        <v>0</v>
      </c>
      <c r="F93" s="50"/>
      <c r="G93" s="53"/>
      <c r="H93" s="50"/>
      <c r="I93" s="50"/>
      <c r="J93" s="54"/>
      <c r="K93" s="50"/>
      <c r="L93" s="50"/>
      <c r="M93" s="54"/>
      <c r="N93" s="50"/>
      <c r="O93" s="50"/>
    </row>
    <row r="94" spans="1:15">
      <c r="A94" s="45"/>
      <c r="B94" s="45"/>
      <c r="C94" s="46"/>
      <c r="D94" s="47"/>
      <c r="E94" s="46">
        <f t="shared" si="8"/>
        <v>0</v>
      </c>
      <c r="F94" s="45"/>
      <c r="G94" s="48"/>
      <c r="H94" s="45"/>
      <c r="I94" s="45"/>
      <c r="J94" s="49"/>
      <c r="K94" s="45"/>
      <c r="L94" s="45"/>
      <c r="M94" s="49"/>
      <c r="N94" s="45"/>
      <c r="O94" s="45"/>
    </row>
    <row r="95" spans="1:15">
      <c r="A95" s="50"/>
      <c r="B95" s="50"/>
      <c r="C95" s="51"/>
      <c r="D95" s="52"/>
      <c r="E95" s="46">
        <f t="shared" si="8"/>
        <v>0</v>
      </c>
      <c r="F95" s="50"/>
      <c r="G95" s="53"/>
      <c r="H95" s="50"/>
      <c r="I95" s="50"/>
      <c r="J95" s="54"/>
      <c r="K95" s="50"/>
      <c r="L95" s="50"/>
      <c r="M95" s="54"/>
      <c r="N95" s="50"/>
      <c r="O95" s="50"/>
    </row>
    <row r="96" spans="1:15">
      <c r="A96" s="45"/>
      <c r="B96" s="45"/>
      <c r="C96" s="46"/>
      <c r="D96" s="47"/>
      <c r="E96" s="46">
        <f t="shared" si="8"/>
        <v>0</v>
      </c>
      <c r="F96" s="45"/>
      <c r="G96" s="48"/>
      <c r="H96" s="45"/>
      <c r="I96" s="45"/>
      <c r="J96" s="49"/>
      <c r="K96" s="45"/>
      <c r="L96" s="45"/>
      <c r="M96" s="49"/>
      <c r="N96" s="45"/>
      <c r="O96" s="45"/>
    </row>
    <row r="97" spans="1:15">
      <c r="A97" s="50"/>
      <c r="B97" s="50"/>
      <c r="C97" s="51"/>
      <c r="D97" s="52"/>
      <c r="E97" s="46">
        <f t="shared" si="8"/>
        <v>0</v>
      </c>
      <c r="F97" s="50"/>
      <c r="G97" s="53"/>
      <c r="H97" s="50"/>
      <c r="I97" s="50"/>
      <c r="J97" s="54"/>
      <c r="K97" s="50"/>
      <c r="L97" s="50"/>
      <c r="M97" s="54"/>
      <c r="N97" s="50"/>
      <c r="O97" s="50"/>
    </row>
    <row r="98" spans="1:15">
      <c r="A98" s="45"/>
      <c r="B98" s="45"/>
      <c r="C98" s="46"/>
      <c r="D98" s="47"/>
      <c r="E98" s="46">
        <f t="shared" si="8"/>
        <v>0</v>
      </c>
      <c r="F98" s="45"/>
      <c r="G98" s="48"/>
      <c r="H98" s="45"/>
      <c r="I98" s="45"/>
      <c r="J98" s="49"/>
      <c r="K98" s="45"/>
      <c r="L98" s="45"/>
      <c r="M98" s="49"/>
      <c r="N98" s="45"/>
      <c r="O98" s="45"/>
    </row>
    <row r="99" spans="1:15">
      <c r="A99" s="50"/>
      <c r="B99" s="50"/>
      <c r="C99" s="51"/>
      <c r="D99" s="52"/>
      <c r="E99" s="46">
        <f t="shared" si="8"/>
        <v>0</v>
      </c>
      <c r="F99" s="50"/>
      <c r="G99" s="53"/>
      <c r="H99" s="50"/>
      <c r="I99" s="50"/>
      <c r="J99" s="54"/>
      <c r="K99" s="50"/>
      <c r="L99" s="50"/>
      <c r="M99" s="54"/>
      <c r="N99" s="50"/>
      <c r="O99" s="50"/>
    </row>
    <row r="100" spans="1:15">
      <c r="A100" s="45"/>
      <c r="B100" s="45"/>
      <c r="C100" s="46"/>
      <c r="D100" s="47"/>
      <c r="E100" s="46">
        <f t="shared" si="8"/>
        <v>0</v>
      </c>
      <c r="F100" s="45"/>
      <c r="G100" s="48"/>
      <c r="H100" s="45"/>
      <c r="I100" s="45"/>
      <c r="J100" s="49"/>
      <c r="K100" s="45"/>
      <c r="L100" s="45"/>
      <c r="M100" s="49"/>
      <c r="N100" s="45"/>
      <c r="O100" s="45"/>
    </row>
    <row r="101" spans="1:15">
      <c r="A101" s="50"/>
      <c r="B101" s="50"/>
      <c r="C101" s="51"/>
      <c r="D101" s="52"/>
      <c r="E101" s="46">
        <f t="shared" si="8"/>
        <v>0</v>
      </c>
      <c r="F101" s="50"/>
      <c r="G101" s="53"/>
      <c r="H101" s="50"/>
      <c r="I101" s="50"/>
      <c r="J101" s="54"/>
      <c r="K101" s="50"/>
      <c r="L101" s="50"/>
      <c r="M101" s="54"/>
      <c r="N101" s="50"/>
      <c r="O101" s="50"/>
    </row>
    <row r="102" spans="1:15">
      <c r="A102" s="45"/>
      <c r="B102" s="45"/>
      <c r="C102" s="46"/>
      <c r="D102" s="47"/>
      <c r="E102" s="46">
        <f t="shared" si="8"/>
        <v>0</v>
      </c>
      <c r="F102" s="45"/>
      <c r="G102" s="48"/>
      <c r="H102" s="45"/>
      <c r="I102" s="45"/>
      <c r="J102" s="49"/>
      <c r="K102" s="45"/>
      <c r="L102" s="45"/>
      <c r="M102" s="49"/>
      <c r="N102" s="45"/>
      <c r="O102" s="45"/>
    </row>
    <row r="103" spans="1:15">
      <c r="A103" s="50"/>
      <c r="B103" s="50"/>
      <c r="C103" s="51"/>
      <c r="D103" s="52"/>
      <c r="E103" s="46">
        <f t="shared" si="8"/>
        <v>0</v>
      </c>
      <c r="F103" s="50"/>
      <c r="G103" s="53"/>
      <c r="H103" s="50"/>
      <c r="I103" s="50"/>
      <c r="J103" s="54"/>
      <c r="K103" s="50"/>
      <c r="L103" s="50"/>
      <c r="M103" s="54"/>
      <c r="N103" s="50"/>
      <c r="O103" s="50"/>
    </row>
    <row r="104" spans="1:15">
      <c r="A104" s="45"/>
      <c r="B104" s="45"/>
      <c r="C104" s="46"/>
      <c r="D104" s="47"/>
      <c r="E104" s="46">
        <f t="shared" si="8"/>
        <v>0</v>
      </c>
      <c r="F104" s="45"/>
      <c r="G104" s="48"/>
      <c r="H104" s="45"/>
      <c r="I104" s="45"/>
      <c r="J104" s="49"/>
      <c r="K104" s="45"/>
      <c r="L104" s="45"/>
      <c r="M104" s="49"/>
      <c r="N104" s="45"/>
      <c r="O104" s="45"/>
    </row>
    <row r="105" spans="1:15">
      <c r="A105" s="50"/>
      <c r="B105" s="50"/>
      <c r="C105" s="51"/>
      <c r="D105" s="52"/>
      <c r="E105" s="46">
        <f t="shared" si="8"/>
        <v>0</v>
      </c>
      <c r="F105" s="50"/>
      <c r="G105" s="53"/>
      <c r="H105" s="50"/>
      <c r="I105" s="50"/>
      <c r="J105" s="54"/>
      <c r="K105" s="50"/>
      <c r="L105" s="50"/>
      <c r="M105" s="54"/>
      <c r="N105" s="50"/>
      <c r="O105" s="50"/>
    </row>
    <row r="106" spans="1:15">
      <c r="A106" s="45"/>
      <c r="B106" s="45"/>
      <c r="C106" s="46"/>
      <c r="D106" s="47"/>
      <c r="E106" s="46">
        <f t="shared" si="8"/>
        <v>0</v>
      </c>
      <c r="F106" s="45"/>
      <c r="G106" s="48"/>
      <c r="H106" s="45"/>
      <c r="I106" s="45"/>
      <c r="J106" s="49"/>
      <c r="K106" s="45"/>
      <c r="L106" s="45"/>
      <c r="M106" s="49"/>
      <c r="N106" s="45"/>
      <c r="O106" s="45"/>
    </row>
    <row r="107" spans="1:15">
      <c r="A107" s="50"/>
      <c r="B107" s="50"/>
      <c r="C107" s="51"/>
      <c r="D107" s="52"/>
      <c r="E107" s="46">
        <f t="shared" si="8"/>
        <v>0</v>
      </c>
      <c r="F107" s="50"/>
      <c r="G107" s="53"/>
      <c r="H107" s="50"/>
      <c r="I107" s="50"/>
      <c r="J107" s="54"/>
      <c r="K107" s="50"/>
      <c r="L107" s="50"/>
      <c r="M107" s="54"/>
      <c r="N107" s="50"/>
      <c r="O107" s="50"/>
    </row>
    <row r="108" spans="1:15">
      <c r="A108" s="45"/>
      <c r="B108" s="45"/>
      <c r="C108" s="46"/>
      <c r="D108" s="47"/>
      <c r="E108" s="46">
        <f t="shared" si="8"/>
        <v>0</v>
      </c>
      <c r="F108" s="45"/>
      <c r="G108" s="48"/>
      <c r="H108" s="45"/>
      <c r="I108" s="45"/>
      <c r="J108" s="49"/>
      <c r="K108" s="45"/>
      <c r="L108" s="45"/>
      <c r="M108" s="49"/>
      <c r="N108" s="45"/>
      <c r="O108" s="45"/>
    </row>
    <row r="109" spans="1:15">
      <c r="A109" s="50"/>
      <c r="B109" s="50"/>
      <c r="C109" s="51"/>
      <c r="D109" s="52"/>
      <c r="E109" s="46">
        <f t="shared" si="8"/>
        <v>0</v>
      </c>
      <c r="F109" s="50"/>
      <c r="G109" s="53"/>
      <c r="H109" s="50"/>
      <c r="I109" s="50"/>
      <c r="J109" s="54"/>
      <c r="K109" s="50"/>
      <c r="L109" s="50"/>
      <c r="M109" s="54"/>
      <c r="N109" s="50"/>
      <c r="O109" s="50"/>
    </row>
    <row r="110" spans="1:15">
      <c r="A110" s="45"/>
      <c r="B110" s="45"/>
      <c r="C110" s="46"/>
      <c r="D110" s="47"/>
      <c r="E110" s="46">
        <f t="shared" si="8"/>
        <v>0</v>
      </c>
      <c r="F110" s="45"/>
      <c r="G110" s="48"/>
      <c r="H110" s="45"/>
      <c r="I110" s="45"/>
      <c r="J110" s="49"/>
      <c r="K110" s="45"/>
      <c r="L110" s="45"/>
      <c r="M110" s="49"/>
      <c r="N110" s="45"/>
      <c r="O110" s="45"/>
    </row>
    <row r="111" spans="1:15">
      <c r="A111" s="50"/>
      <c r="B111" s="50"/>
      <c r="C111" s="51"/>
      <c r="D111" s="52"/>
      <c r="E111" s="46">
        <f t="shared" si="8"/>
        <v>0</v>
      </c>
      <c r="F111" s="50"/>
      <c r="G111" s="53"/>
      <c r="H111" s="50"/>
      <c r="I111" s="50"/>
      <c r="J111" s="54"/>
      <c r="K111" s="50"/>
      <c r="L111" s="50"/>
      <c r="M111" s="54"/>
      <c r="N111" s="50"/>
      <c r="O111" s="50"/>
    </row>
    <row r="112" spans="1:15">
      <c r="A112" s="45"/>
      <c r="B112" s="45"/>
      <c r="C112" s="46"/>
      <c r="D112" s="47"/>
      <c r="E112" s="46">
        <f t="shared" si="8"/>
        <v>0</v>
      </c>
      <c r="F112" s="45"/>
      <c r="G112" s="48"/>
      <c r="H112" s="45"/>
      <c r="I112" s="45"/>
      <c r="J112" s="49"/>
      <c r="K112" s="45"/>
      <c r="L112" s="45"/>
      <c r="M112" s="49"/>
      <c r="N112" s="45"/>
      <c r="O112" s="45"/>
    </row>
    <row r="113" spans="1:15">
      <c r="A113" s="50"/>
      <c r="B113" s="50"/>
      <c r="C113" s="51"/>
      <c r="D113" s="52"/>
      <c r="E113" s="46">
        <f t="shared" si="8"/>
        <v>0</v>
      </c>
      <c r="F113" s="50"/>
      <c r="G113" s="53"/>
      <c r="H113" s="50"/>
      <c r="I113" s="50"/>
      <c r="J113" s="54"/>
      <c r="K113" s="50"/>
      <c r="L113" s="50"/>
      <c r="M113" s="54"/>
      <c r="N113" s="50"/>
      <c r="O113" s="50"/>
    </row>
    <row r="114" spans="1:15">
      <c r="A114" s="45"/>
      <c r="B114" s="45"/>
      <c r="C114" s="46"/>
      <c r="D114" s="47"/>
      <c r="E114" s="46">
        <f t="shared" si="8"/>
        <v>0</v>
      </c>
      <c r="F114" s="45"/>
      <c r="G114" s="48"/>
      <c r="H114" s="45"/>
      <c r="I114" s="45"/>
      <c r="J114" s="49"/>
      <c r="K114" s="45"/>
      <c r="L114" s="45"/>
      <c r="M114" s="49"/>
      <c r="N114" s="45"/>
      <c r="O114" s="45"/>
    </row>
    <row r="115" spans="1:15">
      <c r="A115" s="50"/>
      <c r="B115" s="50"/>
      <c r="C115" s="51"/>
      <c r="D115" s="52"/>
      <c r="E115" s="46">
        <f t="shared" si="8"/>
        <v>0</v>
      </c>
      <c r="F115" s="50"/>
      <c r="G115" s="53"/>
      <c r="H115" s="50"/>
      <c r="I115" s="50"/>
      <c r="J115" s="54"/>
      <c r="K115" s="50"/>
      <c r="L115" s="50"/>
      <c r="M115" s="54"/>
      <c r="N115" s="50"/>
      <c r="O115" s="50"/>
    </row>
    <row r="116" spans="1:15">
      <c r="A116" s="45"/>
      <c r="B116" s="45"/>
      <c r="C116" s="46"/>
      <c r="D116" s="47"/>
      <c r="E116" s="46">
        <f t="shared" si="8"/>
        <v>0</v>
      </c>
      <c r="F116" s="45"/>
      <c r="G116" s="48"/>
      <c r="H116" s="45"/>
      <c r="I116" s="45"/>
      <c r="J116" s="49"/>
      <c r="K116" s="45"/>
      <c r="L116" s="45"/>
      <c r="M116" s="49"/>
      <c r="N116" s="45"/>
      <c r="O116" s="45"/>
    </row>
    <row r="117" spans="1:15">
      <c r="A117" s="50"/>
      <c r="B117" s="50"/>
      <c r="C117" s="51"/>
      <c r="D117" s="52"/>
      <c r="E117" s="46">
        <f t="shared" si="8"/>
        <v>0</v>
      </c>
      <c r="F117" s="50"/>
      <c r="G117" s="53"/>
      <c r="H117" s="50"/>
      <c r="I117" s="50"/>
      <c r="J117" s="54"/>
      <c r="K117" s="50"/>
      <c r="L117" s="50"/>
      <c r="M117" s="54"/>
      <c r="N117" s="50"/>
      <c r="O117" s="50"/>
    </row>
    <row r="118" spans="1:15">
      <c r="A118" s="45"/>
      <c r="B118" s="45"/>
      <c r="C118" s="46"/>
      <c r="D118" s="47"/>
      <c r="E118" s="46">
        <f t="shared" si="8"/>
        <v>0</v>
      </c>
      <c r="F118" s="45"/>
      <c r="G118" s="48"/>
      <c r="H118" s="45"/>
      <c r="I118" s="45"/>
      <c r="J118" s="49"/>
      <c r="K118" s="45"/>
      <c r="L118" s="45"/>
      <c r="M118" s="49"/>
      <c r="N118" s="45"/>
      <c r="O118" s="45"/>
    </row>
    <row r="119" spans="1:15">
      <c r="A119" s="50"/>
      <c r="B119" s="50"/>
      <c r="C119" s="51"/>
      <c r="D119" s="52"/>
      <c r="E119" s="46">
        <f t="shared" ref="E119:E182" si="9">D119*C119</f>
        <v>0</v>
      </c>
      <c r="F119" s="50"/>
      <c r="G119" s="53"/>
      <c r="H119" s="50"/>
      <c r="I119" s="50"/>
      <c r="J119" s="54"/>
      <c r="K119" s="50"/>
      <c r="L119" s="50"/>
      <c r="M119" s="54"/>
      <c r="N119" s="50"/>
      <c r="O119" s="50"/>
    </row>
    <row r="120" spans="1:15">
      <c r="A120" s="45"/>
      <c r="B120" s="45"/>
      <c r="C120" s="46"/>
      <c r="D120" s="47"/>
      <c r="E120" s="46">
        <f t="shared" si="9"/>
        <v>0</v>
      </c>
      <c r="F120" s="45"/>
      <c r="G120" s="48"/>
      <c r="H120" s="45"/>
      <c r="I120" s="45"/>
      <c r="J120" s="49"/>
      <c r="K120" s="45"/>
      <c r="L120" s="45"/>
      <c r="M120" s="49"/>
      <c r="N120" s="45"/>
      <c r="O120" s="45"/>
    </row>
    <row r="121" spans="1:15">
      <c r="A121" s="50"/>
      <c r="B121" s="50"/>
      <c r="C121" s="51"/>
      <c r="D121" s="52"/>
      <c r="E121" s="46">
        <f t="shared" si="9"/>
        <v>0</v>
      </c>
      <c r="F121" s="50"/>
      <c r="G121" s="53"/>
      <c r="H121" s="50"/>
      <c r="I121" s="50"/>
      <c r="J121" s="54"/>
      <c r="K121" s="50"/>
      <c r="L121" s="50"/>
      <c r="M121" s="54"/>
      <c r="N121" s="50"/>
      <c r="O121" s="50"/>
    </row>
    <row r="122" spans="1:15">
      <c r="A122" s="45"/>
      <c r="B122" s="45"/>
      <c r="C122" s="46"/>
      <c r="D122" s="47"/>
      <c r="E122" s="46">
        <f t="shared" si="9"/>
        <v>0</v>
      </c>
      <c r="F122" s="45"/>
      <c r="G122" s="48"/>
      <c r="H122" s="45"/>
      <c r="I122" s="45"/>
      <c r="J122" s="49"/>
      <c r="K122" s="45"/>
      <c r="L122" s="45"/>
      <c r="M122" s="49"/>
      <c r="N122" s="45"/>
      <c r="O122" s="45"/>
    </row>
    <row r="123" spans="1:15">
      <c r="A123" s="50"/>
      <c r="B123" s="50"/>
      <c r="C123" s="51"/>
      <c r="D123" s="52"/>
      <c r="E123" s="46">
        <f t="shared" si="9"/>
        <v>0</v>
      </c>
      <c r="F123" s="50"/>
      <c r="G123" s="53"/>
      <c r="H123" s="50"/>
      <c r="I123" s="50"/>
      <c r="J123" s="54"/>
      <c r="K123" s="50"/>
      <c r="L123" s="50"/>
      <c r="M123" s="54"/>
      <c r="N123" s="50"/>
      <c r="O123" s="50"/>
    </row>
    <row r="124" spans="1:15">
      <c r="A124" s="45"/>
      <c r="B124" s="45"/>
      <c r="C124" s="46"/>
      <c r="D124" s="47"/>
      <c r="E124" s="46">
        <f t="shared" si="9"/>
        <v>0</v>
      </c>
      <c r="F124" s="45"/>
      <c r="G124" s="48"/>
      <c r="H124" s="45"/>
      <c r="I124" s="45"/>
      <c r="J124" s="49"/>
      <c r="K124" s="45"/>
      <c r="L124" s="45"/>
      <c r="M124" s="49"/>
      <c r="N124" s="45"/>
      <c r="O124" s="45"/>
    </row>
    <row r="125" spans="1:15">
      <c r="A125" s="50"/>
      <c r="B125" s="50"/>
      <c r="C125" s="51"/>
      <c r="D125" s="52"/>
      <c r="E125" s="46">
        <f t="shared" si="9"/>
        <v>0</v>
      </c>
      <c r="F125" s="50"/>
      <c r="G125" s="53"/>
      <c r="H125" s="50"/>
      <c r="I125" s="50"/>
      <c r="J125" s="54"/>
      <c r="K125" s="50"/>
      <c r="L125" s="50"/>
      <c r="M125" s="54"/>
      <c r="N125" s="50"/>
      <c r="O125" s="50"/>
    </row>
    <row r="126" spans="1:15">
      <c r="A126" s="45"/>
      <c r="B126" s="45"/>
      <c r="C126" s="46"/>
      <c r="D126" s="47"/>
      <c r="E126" s="46">
        <f t="shared" si="9"/>
        <v>0</v>
      </c>
      <c r="F126" s="45"/>
      <c r="G126" s="48"/>
      <c r="H126" s="45"/>
      <c r="I126" s="45"/>
      <c r="J126" s="49"/>
      <c r="K126" s="45"/>
      <c r="L126" s="45"/>
      <c r="M126" s="49"/>
      <c r="N126" s="45"/>
      <c r="O126" s="45"/>
    </row>
    <row r="127" spans="1:15">
      <c r="A127" s="50"/>
      <c r="B127" s="50"/>
      <c r="C127" s="51"/>
      <c r="D127" s="52"/>
      <c r="E127" s="46">
        <f t="shared" si="9"/>
        <v>0</v>
      </c>
      <c r="F127" s="50"/>
      <c r="G127" s="53"/>
      <c r="H127" s="50"/>
      <c r="I127" s="50"/>
      <c r="J127" s="54"/>
      <c r="K127" s="50"/>
      <c r="L127" s="50"/>
      <c r="M127" s="54"/>
      <c r="N127" s="50"/>
      <c r="O127" s="50"/>
    </row>
    <row r="128" spans="1:15">
      <c r="A128" s="45"/>
      <c r="B128" s="45"/>
      <c r="C128" s="46"/>
      <c r="D128" s="47"/>
      <c r="E128" s="46">
        <f t="shared" si="9"/>
        <v>0</v>
      </c>
      <c r="F128" s="45"/>
      <c r="G128" s="48"/>
      <c r="H128" s="45"/>
      <c r="I128" s="45"/>
      <c r="J128" s="49"/>
      <c r="K128" s="45"/>
      <c r="L128" s="45"/>
      <c r="M128" s="49"/>
      <c r="N128" s="45"/>
      <c r="O128" s="45"/>
    </row>
    <row r="129" spans="1:15">
      <c r="A129" s="50"/>
      <c r="B129" s="50"/>
      <c r="C129" s="51"/>
      <c r="D129" s="52"/>
      <c r="E129" s="46">
        <f t="shared" si="9"/>
        <v>0</v>
      </c>
      <c r="F129" s="50"/>
      <c r="G129" s="53"/>
      <c r="H129" s="50"/>
      <c r="I129" s="50"/>
      <c r="J129" s="54"/>
      <c r="K129" s="50"/>
      <c r="L129" s="50"/>
      <c r="M129" s="54"/>
      <c r="N129" s="50"/>
      <c r="O129" s="50"/>
    </row>
    <row r="130" spans="1:15">
      <c r="A130" s="45"/>
      <c r="B130" s="45"/>
      <c r="C130" s="46"/>
      <c r="D130" s="47"/>
      <c r="E130" s="46">
        <f t="shared" si="9"/>
        <v>0</v>
      </c>
      <c r="F130" s="45"/>
      <c r="G130" s="48"/>
      <c r="H130" s="45"/>
      <c r="I130" s="45"/>
      <c r="J130" s="49"/>
      <c r="K130" s="45"/>
      <c r="L130" s="45"/>
      <c r="M130" s="49"/>
      <c r="N130" s="45"/>
      <c r="O130" s="45"/>
    </row>
    <row r="131" spans="1:15">
      <c r="A131" s="50"/>
      <c r="B131" s="50"/>
      <c r="C131" s="51"/>
      <c r="D131" s="52"/>
      <c r="E131" s="46">
        <f t="shared" si="9"/>
        <v>0</v>
      </c>
      <c r="F131" s="50"/>
      <c r="G131" s="53"/>
      <c r="H131" s="50"/>
      <c r="I131" s="50"/>
      <c r="J131" s="54"/>
      <c r="K131" s="50"/>
      <c r="L131" s="50"/>
      <c r="M131" s="54"/>
      <c r="N131" s="50"/>
      <c r="O131" s="50"/>
    </row>
    <row r="132" spans="1:15">
      <c r="A132" s="45"/>
      <c r="B132" s="45"/>
      <c r="C132" s="46"/>
      <c r="D132" s="47"/>
      <c r="E132" s="46">
        <f t="shared" si="9"/>
        <v>0</v>
      </c>
      <c r="F132" s="45"/>
      <c r="G132" s="48"/>
      <c r="H132" s="45"/>
      <c r="I132" s="45"/>
      <c r="J132" s="49"/>
      <c r="K132" s="45"/>
      <c r="L132" s="45"/>
      <c r="M132" s="49"/>
      <c r="N132" s="45"/>
      <c r="O132" s="45"/>
    </row>
    <row r="133" spans="1:15">
      <c r="A133" s="50"/>
      <c r="B133" s="50"/>
      <c r="C133" s="51"/>
      <c r="D133" s="52"/>
      <c r="E133" s="46">
        <f t="shared" si="9"/>
        <v>0</v>
      </c>
      <c r="F133" s="50"/>
      <c r="G133" s="53"/>
      <c r="H133" s="50"/>
      <c r="I133" s="50"/>
      <c r="J133" s="54"/>
      <c r="K133" s="50"/>
      <c r="L133" s="50"/>
      <c r="M133" s="54"/>
      <c r="N133" s="50"/>
      <c r="O133" s="50"/>
    </row>
    <row r="134" spans="1:15">
      <c r="A134" s="45"/>
      <c r="B134" s="45"/>
      <c r="C134" s="46"/>
      <c r="D134" s="47"/>
      <c r="E134" s="46">
        <f t="shared" si="9"/>
        <v>0</v>
      </c>
      <c r="F134" s="45"/>
      <c r="G134" s="48"/>
      <c r="H134" s="45"/>
      <c r="I134" s="45"/>
      <c r="J134" s="49"/>
      <c r="K134" s="45"/>
      <c r="L134" s="45"/>
      <c r="M134" s="49"/>
      <c r="N134" s="45"/>
      <c r="O134" s="45"/>
    </row>
    <row r="135" spans="1:15">
      <c r="A135" s="50"/>
      <c r="B135" s="50"/>
      <c r="C135" s="51"/>
      <c r="D135" s="52"/>
      <c r="E135" s="46">
        <f t="shared" si="9"/>
        <v>0</v>
      </c>
      <c r="F135" s="50"/>
      <c r="G135" s="53"/>
      <c r="H135" s="50"/>
      <c r="I135" s="50"/>
      <c r="J135" s="54"/>
      <c r="K135" s="50"/>
      <c r="L135" s="50"/>
      <c r="M135" s="54"/>
      <c r="N135" s="50"/>
      <c r="O135" s="50"/>
    </row>
    <row r="136" spans="1:15">
      <c r="A136" s="45"/>
      <c r="B136" s="45"/>
      <c r="C136" s="46"/>
      <c r="D136" s="47"/>
      <c r="E136" s="46">
        <f t="shared" si="9"/>
        <v>0</v>
      </c>
      <c r="F136" s="45"/>
      <c r="G136" s="48"/>
      <c r="H136" s="45"/>
      <c r="I136" s="45"/>
      <c r="J136" s="49"/>
      <c r="K136" s="45"/>
      <c r="L136" s="45"/>
      <c r="M136" s="49"/>
      <c r="N136" s="45"/>
      <c r="O136" s="45"/>
    </row>
    <row r="137" spans="1:15">
      <c r="A137" s="50"/>
      <c r="B137" s="50"/>
      <c r="C137" s="51"/>
      <c r="D137" s="52"/>
      <c r="E137" s="46">
        <f t="shared" si="9"/>
        <v>0</v>
      </c>
      <c r="F137" s="50"/>
      <c r="G137" s="53"/>
      <c r="H137" s="50"/>
      <c r="I137" s="50"/>
      <c r="J137" s="54"/>
      <c r="K137" s="50"/>
      <c r="L137" s="50"/>
      <c r="M137" s="54"/>
      <c r="N137" s="50"/>
      <c r="O137" s="50"/>
    </row>
    <row r="138" spans="1:15">
      <c r="A138" s="45"/>
      <c r="B138" s="45"/>
      <c r="C138" s="46"/>
      <c r="D138" s="47"/>
      <c r="E138" s="46">
        <f t="shared" si="9"/>
        <v>0</v>
      </c>
      <c r="F138" s="45"/>
      <c r="G138" s="48"/>
      <c r="H138" s="45"/>
      <c r="I138" s="45"/>
      <c r="J138" s="49"/>
      <c r="K138" s="45"/>
      <c r="L138" s="45"/>
      <c r="M138" s="49"/>
      <c r="N138" s="45"/>
      <c r="O138" s="45"/>
    </row>
    <row r="139" spans="1:15">
      <c r="A139" s="50"/>
      <c r="B139" s="50"/>
      <c r="C139" s="51"/>
      <c r="D139" s="52"/>
      <c r="E139" s="46">
        <f t="shared" si="9"/>
        <v>0</v>
      </c>
      <c r="F139" s="50"/>
      <c r="G139" s="53"/>
      <c r="H139" s="50"/>
      <c r="I139" s="50"/>
      <c r="J139" s="54"/>
      <c r="K139" s="50"/>
      <c r="L139" s="50"/>
      <c r="M139" s="54"/>
      <c r="N139" s="50"/>
      <c r="O139" s="50"/>
    </row>
    <row r="140" spans="1:15">
      <c r="A140" s="45"/>
      <c r="B140" s="45"/>
      <c r="C140" s="46"/>
      <c r="D140" s="47"/>
      <c r="E140" s="46">
        <f t="shared" si="9"/>
        <v>0</v>
      </c>
      <c r="F140" s="45"/>
      <c r="G140" s="48"/>
      <c r="H140" s="45"/>
      <c r="I140" s="45"/>
      <c r="J140" s="49"/>
      <c r="K140" s="45"/>
      <c r="L140" s="45"/>
      <c r="M140" s="49"/>
      <c r="N140" s="45"/>
      <c r="O140" s="45"/>
    </row>
    <row r="141" spans="1:15">
      <c r="A141" s="50"/>
      <c r="B141" s="50"/>
      <c r="C141" s="51"/>
      <c r="D141" s="52"/>
      <c r="E141" s="46">
        <f t="shared" si="9"/>
        <v>0</v>
      </c>
      <c r="F141" s="50"/>
      <c r="G141" s="53"/>
      <c r="H141" s="50"/>
      <c r="I141" s="50"/>
      <c r="J141" s="54"/>
      <c r="K141" s="50"/>
      <c r="L141" s="50"/>
      <c r="M141" s="54"/>
      <c r="N141" s="50"/>
      <c r="O141" s="50"/>
    </row>
    <row r="142" spans="1:15">
      <c r="A142" s="45"/>
      <c r="B142" s="45"/>
      <c r="C142" s="46"/>
      <c r="D142" s="47"/>
      <c r="E142" s="46">
        <f t="shared" si="9"/>
        <v>0</v>
      </c>
      <c r="F142" s="45"/>
      <c r="G142" s="48"/>
      <c r="H142" s="45"/>
      <c r="I142" s="45"/>
      <c r="J142" s="49"/>
      <c r="K142" s="45"/>
      <c r="L142" s="45"/>
      <c r="M142" s="49"/>
      <c r="N142" s="45"/>
      <c r="O142" s="45"/>
    </row>
    <row r="143" spans="1:15">
      <c r="A143" s="50"/>
      <c r="B143" s="50"/>
      <c r="C143" s="51"/>
      <c r="D143" s="52"/>
      <c r="E143" s="46">
        <f t="shared" si="9"/>
        <v>0</v>
      </c>
      <c r="F143" s="50"/>
      <c r="G143" s="53"/>
      <c r="H143" s="50"/>
      <c r="I143" s="50"/>
      <c r="J143" s="54"/>
      <c r="K143" s="50"/>
      <c r="L143" s="50"/>
      <c r="M143" s="54"/>
      <c r="N143" s="50"/>
      <c r="O143" s="50"/>
    </row>
    <row r="144" spans="1:15">
      <c r="A144" s="45"/>
      <c r="B144" s="45"/>
      <c r="C144" s="46"/>
      <c r="D144" s="47"/>
      <c r="E144" s="46">
        <f t="shared" si="9"/>
        <v>0</v>
      </c>
      <c r="F144" s="45"/>
      <c r="G144" s="48"/>
      <c r="H144" s="45"/>
      <c r="I144" s="45"/>
      <c r="J144" s="49"/>
      <c r="K144" s="45"/>
      <c r="L144" s="45"/>
      <c r="M144" s="49"/>
      <c r="N144" s="45"/>
      <c r="O144" s="45"/>
    </row>
    <row r="145" spans="1:15">
      <c r="A145" s="50"/>
      <c r="B145" s="50"/>
      <c r="C145" s="51"/>
      <c r="D145" s="52"/>
      <c r="E145" s="46">
        <f t="shared" si="9"/>
        <v>0</v>
      </c>
      <c r="F145" s="50"/>
      <c r="G145" s="53"/>
      <c r="H145" s="50"/>
      <c r="I145" s="50"/>
      <c r="J145" s="54"/>
      <c r="K145" s="50"/>
      <c r="L145" s="50"/>
      <c r="M145" s="54"/>
      <c r="N145" s="50"/>
      <c r="O145" s="50"/>
    </row>
    <row r="146" spans="1:15">
      <c r="A146" s="45"/>
      <c r="B146" s="45"/>
      <c r="C146" s="46"/>
      <c r="D146" s="47"/>
      <c r="E146" s="46">
        <f t="shared" si="9"/>
        <v>0</v>
      </c>
      <c r="F146" s="45"/>
      <c r="G146" s="48"/>
      <c r="H146" s="45"/>
      <c r="I146" s="45"/>
      <c r="J146" s="49"/>
      <c r="K146" s="45"/>
      <c r="L146" s="45"/>
      <c r="M146" s="49"/>
      <c r="N146" s="45"/>
      <c r="O146" s="45"/>
    </row>
    <row r="147" spans="1:15">
      <c r="A147" s="50"/>
      <c r="B147" s="50"/>
      <c r="C147" s="51"/>
      <c r="D147" s="52"/>
      <c r="E147" s="46">
        <f t="shared" si="9"/>
        <v>0</v>
      </c>
      <c r="F147" s="50"/>
      <c r="G147" s="53"/>
      <c r="H147" s="50"/>
      <c r="I147" s="50"/>
      <c r="J147" s="54"/>
      <c r="K147" s="50"/>
      <c r="L147" s="50"/>
      <c r="M147" s="54"/>
      <c r="N147" s="50"/>
      <c r="O147" s="50"/>
    </row>
    <row r="148" spans="1:15">
      <c r="A148" s="45"/>
      <c r="B148" s="45"/>
      <c r="C148" s="46"/>
      <c r="D148" s="47"/>
      <c r="E148" s="46">
        <f t="shared" si="9"/>
        <v>0</v>
      </c>
      <c r="F148" s="45"/>
      <c r="G148" s="48"/>
      <c r="H148" s="45"/>
      <c r="I148" s="45"/>
      <c r="J148" s="49"/>
      <c r="K148" s="45"/>
      <c r="L148" s="45"/>
      <c r="M148" s="49"/>
      <c r="N148" s="45"/>
      <c r="O148" s="45"/>
    </row>
    <row r="149" spans="1:15">
      <c r="A149" s="50"/>
      <c r="B149" s="50"/>
      <c r="C149" s="51"/>
      <c r="D149" s="52"/>
      <c r="E149" s="46">
        <f t="shared" si="9"/>
        <v>0</v>
      </c>
      <c r="F149" s="50"/>
      <c r="G149" s="53"/>
      <c r="H149" s="50"/>
      <c r="I149" s="50"/>
      <c r="J149" s="54"/>
      <c r="K149" s="50"/>
      <c r="L149" s="50"/>
      <c r="M149" s="54"/>
      <c r="N149" s="50"/>
      <c r="O149" s="50"/>
    </row>
    <row r="150" spans="1:15">
      <c r="A150" s="45"/>
      <c r="B150" s="45"/>
      <c r="C150" s="46"/>
      <c r="D150" s="47"/>
      <c r="E150" s="46">
        <f t="shared" si="9"/>
        <v>0</v>
      </c>
      <c r="F150" s="45"/>
      <c r="G150" s="48"/>
      <c r="H150" s="45"/>
      <c r="I150" s="45"/>
      <c r="J150" s="49"/>
      <c r="K150" s="45"/>
      <c r="L150" s="45"/>
      <c r="M150" s="49"/>
      <c r="N150" s="45"/>
      <c r="O150" s="45"/>
    </row>
    <row r="151" spans="1:15">
      <c r="A151" s="50"/>
      <c r="B151" s="50"/>
      <c r="C151" s="51"/>
      <c r="D151" s="52"/>
      <c r="E151" s="46">
        <f t="shared" si="9"/>
        <v>0</v>
      </c>
      <c r="F151" s="50"/>
      <c r="G151" s="53"/>
      <c r="H151" s="50"/>
      <c r="I151" s="50"/>
      <c r="J151" s="54"/>
      <c r="K151" s="50"/>
      <c r="L151" s="50"/>
      <c r="M151" s="54"/>
      <c r="N151" s="50"/>
      <c r="O151" s="50"/>
    </row>
    <row r="152" spans="1:15">
      <c r="A152" s="45"/>
      <c r="B152" s="45"/>
      <c r="C152" s="46"/>
      <c r="D152" s="47"/>
      <c r="E152" s="46">
        <f t="shared" si="9"/>
        <v>0</v>
      </c>
      <c r="F152" s="45"/>
      <c r="G152" s="48"/>
      <c r="H152" s="45"/>
      <c r="I152" s="45"/>
      <c r="J152" s="49"/>
      <c r="K152" s="45"/>
      <c r="L152" s="45"/>
      <c r="M152" s="49"/>
      <c r="N152" s="45"/>
      <c r="O152" s="45"/>
    </row>
    <row r="153" spans="1:15">
      <c r="A153" s="50"/>
      <c r="B153" s="50"/>
      <c r="C153" s="51"/>
      <c r="D153" s="52"/>
      <c r="E153" s="46">
        <f t="shared" si="9"/>
        <v>0</v>
      </c>
      <c r="F153" s="50"/>
      <c r="G153" s="53"/>
      <c r="H153" s="50"/>
      <c r="I153" s="50"/>
      <c r="J153" s="54"/>
      <c r="K153" s="50"/>
      <c r="L153" s="50"/>
      <c r="M153" s="54"/>
      <c r="N153" s="50"/>
      <c r="O153" s="50"/>
    </row>
    <row r="154" spans="1:15">
      <c r="A154" s="45"/>
      <c r="B154" s="45"/>
      <c r="C154" s="46"/>
      <c r="D154" s="47"/>
      <c r="E154" s="46">
        <f t="shared" si="9"/>
        <v>0</v>
      </c>
      <c r="F154" s="45"/>
      <c r="G154" s="48"/>
      <c r="H154" s="45"/>
      <c r="I154" s="45"/>
      <c r="J154" s="49"/>
      <c r="K154" s="45"/>
      <c r="L154" s="45"/>
      <c r="M154" s="49"/>
      <c r="N154" s="45"/>
      <c r="O154" s="45"/>
    </row>
    <row r="155" spans="1:15">
      <c r="A155" s="50"/>
      <c r="B155" s="50"/>
      <c r="C155" s="51"/>
      <c r="D155" s="52"/>
      <c r="E155" s="46">
        <f t="shared" si="9"/>
        <v>0</v>
      </c>
      <c r="F155" s="50"/>
      <c r="G155" s="53"/>
      <c r="H155" s="50"/>
      <c r="I155" s="50"/>
      <c r="J155" s="54"/>
      <c r="K155" s="50"/>
      <c r="L155" s="50"/>
      <c r="M155" s="54"/>
      <c r="N155" s="50"/>
      <c r="O155" s="50"/>
    </row>
    <row r="156" spans="1:15">
      <c r="A156" s="45"/>
      <c r="B156" s="45"/>
      <c r="C156" s="46"/>
      <c r="D156" s="47"/>
      <c r="E156" s="46">
        <f t="shared" si="9"/>
        <v>0</v>
      </c>
      <c r="F156" s="45"/>
      <c r="G156" s="48"/>
      <c r="H156" s="45"/>
      <c r="I156" s="45"/>
      <c r="J156" s="49"/>
      <c r="K156" s="45"/>
      <c r="L156" s="45"/>
      <c r="M156" s="49"/>
      <c r="N156" s="45"/>
      <c r="O156" s="45"/>
    </row>
    <row r="157" spans="1:15">
      <c r="A157" s="50"/>
      <c r="B157" s="50"/>
      <c r="C157" s="51"/>
      <c r="D157" s="52"/>
      <c r="E157" s="46">
        <f t="shared" si="9"/>
        <v>0</v>
      </c>
      <c r="F157" s="50"/>
      <c r="G157" s="53"/>
      <c r="H157" s="50"/>
      <c r="I157" s="50"/>
      <c r="J157" s="54"/>
      <c r="K157" s="50"/>
      <c r="L157" s="50"/>
      <c r="M157" s="54"/>
      <c r="N157" s="50"/>
      <c r="O157" s="50"/>
    </row>
    <row r="158" spans="1:15">
      <c r="A158" s="45"/>
      <c r="B158" s="45"/>
      <c r="C158" s="46"/>
      <c r="D158" s="47"/>
      <c r="E158" s="46">
        <f t="shared" si="9"/>
        <v>0</v>
      </c>
      <c r="F158" s="45"/>
      <c r="G158" s="48"/>
      <c r="H158" s="45"/>
      <c r="I158" s="45"/>
      <c r="J158" s="49"/>
      <c r="K158" s="45"/>
      <c r="L158" s="45"/>
      <c r="M158" s="49"/>
      <c r="N158" s="45"/>
      <c r="O158" s="45"/>
    </row>
    <row r="159" spans="1:15">
      <c r="A159" s="50"/>
      <c r="B159" s="50"/>
      <c r="C159" s="51"/>
      <c r="D159" s="52"/>
      <c r="E159" s="46">
        <f t="shared" si="9"/>
        <v>0</v>
      </c>
      <c r="F159" s="50"/>
      <c r="G159" s="53"/>
      <c r="H159" s="50"/>
      <c r="I159" s="50"/>
      <c r="J159" s="54"/>
      <c r="K159" s="50"/>
      <c r="L159" s="50"/>
      <c r="M159" s="54"/>
      <c r="N159" s="50"/>
      <c r="O159" s="50"/>
    </row>
    <row r="160" spans="1:15">
      <c r="A160" s="45"/>
      <c r="B160" s="45"/>
      <c r="C160" s="46"/>
      <c r="D160" s="47"/>
      <c r="E160" s="46">
        <f t="shared" si="9"/>
        <v>0</v>
      </c>
      <c r="F160" s="45"/>
      <c r="G160" s="48"/>
      <c r="H160" s="45"/>
      <c r="I160" s="45"/>
      <c r="J160" s="49"/>
      <c r="K160" s="45"/>
      <c r="L160" s="45"/>
      <c r="M160" s="49"/>
      <c r="N160" s="45"/>
      <c r="O160" s="45"/>
    </row>
    <row r="161" spans="1:15">
      <c r="A161" s="50"/>
      <c r="B161" s="50"/>
      <c r="C161" s="51"/>
      <c r="D161" s="52"/>
      <c r="E161" s="46">
        <f t="shared" si="9"/>
        <v>0</v>
      </c>
      <c r="F161" s="50"/>
      <c r="G161" s="53"/>
      <c r="H161" s="50"/>
      <c r="I161" s="50"/>
      <c r="J161" s="54"/>
      <c r="K161" s="50"/>
      <c r="L161" s="50"/>
      <c r="M161" s="54"/>
      <c r="N161" s="50"/>
      <c r="O161" s="50"/>
    </row>
    <row r="162" spans="1:15">
      <c r="A162" s="45"/>
      <c r="B162" s="45"/>
      <c r="C162" s="46"/>
      <c r="D162" s="47"/>
      <c r="E162" s="46">
        <f t="shared" si="9"/>
        <v>0</v>
      </c>
      <c r="F162" s="45"/>
      <c r="G162" s="48"/>
      <c r="H162" s="45"/>
      <c r="I162" s="45"/>
      <c r="J162" s="49"/>
      <c r="K162" s="45"/>
      <c r="L162" s="45"/>
      <c r="M162" s="49"/>
      <c r="N162" s="45"/>
      <c r="O162" s="45"/>
    </row>
    <row r="163" spans="1:15">
      <c r="A163" s="50"/>
      <c r="B163" s="50"/>
      <c r="C163" s="51"/>
      <c r="D163" s="52"/>
      <c r="E163" s="46">
        <f t="shared" si="9"/>
        <v>0</v>
      </c>
      <c r="F163" s="50"/>
      <c r="G163" s="53"/>
      <c r="H163" s="50"/>
      <c r="I163" s="50"/>
      <c r="J163" s="54"/>
      <c r="K163" s="50"/>
      <c r="L163" s="50"/>
      <c r="M163" s="54"/>
      <c r="N163" s="50"/>
      <c r="O163" s="50"/>
    </row>
    <row r="164" spans="1:15">
      <c r="A164" s="45"/>
      <c r="B164" s="45"/>
      <c r="C164" s="46"/>
      <c r="D164" s="47"/>
      <c r="E164" s="46">
        <f t="shared" si="9"/>
        <v>0</v>
      </c>
      <c r="F164" s="45"/>
      <c r="G164" s="48"/>
      <c r="H164" s="45"/>
      <c r="I164" s="45"/>
      <c r="J164" s="49"/>
      <c r="K164" s="45"/>
      <c r="L164" s="45"/>
      <c r="M164" s="49"/>
      <c r="N164" s="45"/>
      <c r="O164" s="45"/>
    </row>
    <row r="165" spans="1:15">
      <c r="A165" s="50"/>
      <c r="B165" s="50"/>
      <c r="C165" s="51"/>
      <c r="D165" s="52"/>
      <c r="E165" s="46">
        <f t="shared" si="9"/>
        <v>0</v>
      </c>
      <c r="F165" s="50"/>
      <c r="G165" s="53"/>
      <c r="H165" s="50"/>
      <c r="I165" s="50"/>
      <c r="J165" s="54"/>
      <c r="K165" s="50"/>
      <c r="L165" s="50"/>
      <c r="M165" s="54"/>
      <c r="N165" s="50"/>
      <c r="O165" s="50"/>
    </row>
    <row r="166" spans="1:15">
      <c r="A166" s="45"/>
      <c r="B166" s="45"/>
      <c r="C166" s="46"/>
      <c r="D166" s="47"/>
      <c r="E166" s="46">
        <f t="shared" si="9"/>
        <v>0</v>
      </c>
      <c r="F166" s="45"/>
      <c r="G166" s="48"/>
      <c r="H166" s="45"/>
      <c r="I166" s="45"/>
      <c r="J166" s="49"/>
      <c r="K166" s="45"/>
      <c r="L166" s="45"/>
      <c r="M166" s="49"/>
      <c r="N166" s="45"/>
      <c r="O166" s="45"/>
    </row>
    <row r="167" spans="1:15">
      <c r="A167" s="50"/>
      <c r="B167" s="50"/>
      <c r="C167" s="51"/>
      <c r="D167" s="52"/>
      <c r="E167" s="46">
        <f t="shared" si="9"/>
        <v>0</v>
      </c>
      <c r="F167" s="50"/>
      <c r="G167" s="53"/>
      <c r="H167" s="50"/>
      <c r="I167" s="50"/>
      <c r="J167" s="54"/>
      <c r="K167" s="50"/>
      <c r="L167" s="50"/>
      <c r="M167" s="54"/>
      <c r="N167" s="50"/>
      <c r="O167" s="50"/>
    </row>
    <row r="168" spans="1:15">
      <c r="A168" s="45"/>
      <c r="B168" s="45"/>
      <c r="C168" s="46"/>
      <c r="D168" s="47"/>
      <c r="E168" s="46">
        <f t="shared" si="9"/>
        <v>0</v>
      </c>
      <c r="F168" s="45"/>
      <c r="G168" s="48"/>
      <c r="H168" s="45"/>
      <c r="I168" s="45"/>
      <c r="J168" s="49"/>
      <c r="K168" s="45"/>
      <c r="L168" s="45"/>
      <c r="M168" s="49"/>
      <c r="N168" s="45"/>
      <c r="O168" s="45"/>
    </row>
    <row r="169" spans="1:15">
      <c r="A169" s="50"/>
      <c r="B169" s="50"/>
      <c r="C169" s="51"/>
      <c r="D169" s="52"/>
      <c r="E169" s="46">
        <f t="shared" si="9"/>
        <v>0</v>
      </c>
      <c r="F169" s="50"/>
      <c r="G169" s="53"/>
      <c r="H169" s="50"/>
      <c r="I169" s="50"/>
      <c r="J169" s="54"/>
      <c r="K169" s="50"/>
      <c r="L169" s="50"/>
      <c r="M169" s="54"/>
      <c r="N169" s="50"/>
      <c r="O169" s="50"/>
    </row>
    <row r="170" spans="1:15">
      <c r="A170" s="45"/>
      <c r="B170" s="45"/>
      <c r="C170" s="46"/>
      <c r="D170" s="47"/>
      <c r="E170" s="46">
        <f t="shared" si="9"/>
        <v>0</v>
      </c>
      <c r="F170" s="45"/>
      <c r="G170" s="48"/>
      <c r="H170" s="45"/>
      <c r="I170" s="45"/>
      <c r="J170" s="49"/>
      <c r="K170" s="45"/>
      <c r="L170" s="45"/>
      <c r="M170" s="49"/>
      <c r="N170" s="45"/>
      <c r="O170" s="45"/>
    </row>
    <row r="171" spans="1:15">
      <c r="A171" s="50"/>
      <c r="B171" s="50"/>
      <c r="C171" s="51"/>
      <c r="D171" s="52"/>
      <c r="E171" s="46">
        <f t="shared" si="9"/>
        <v>0</v>
      </c>
      <c r="F171" s="50"/>
      <c r="G171" s="53"/>
      <c r="H171" s="50"/>
      <c r="I171" s="50"/>
      <c r="J171" s="54"/>
      <c r="K171" s="50"/>
      <c r="L171" s="50"/>
      <c r="M171" s="54"/>
      <c r="N171" s="50"/>
      <c r="O171" s="50"/>
    </row>
    <row r="172" spans="1:15">
      <c r="A172" s="45"/>
      <c r="B172" s="45"/>
      <c r="C172" s="46"/>
      <c r="D172" s="47"/>
      <c r="E172" s="46">
        <f t="shared" si="9"/>
        <v>0</v>
      </c>
      <c r="F172" s="45"/>
      <c r="G172" s="48"/>
      <c r="H172" s="45"/>
      <c r="I172" s="45"/>
      <c r="J172" s="49"/>
      <c r="K172" s="45"/>
      <c r="L172" s="45"/>
      <c r="M172" s="49"/>
      <c r="N172" s="45"/>
      <c r="O172" s="45"/>
    </row>
    <row r="173" spans="1:15">
      <c r="A173" s="50"/>
      <c r="B173" s="50"/>
      <c r="C173" s="51"/>
      <c r="D173" s="52"/>
      <c r="E173" s="46">
        <f t="shared" si="9"/>
        <v>0</v>
      </c>
      <c r="F173" s="50"/>
      <c r="G173" s="53"/>
      <c r="H173" s="50"/>
      <c r="I173" s="50"/>
      <c r="J173" s="54"/>
      <c r="K173" s="50"/>
      <c r="L173" s="50"/>
      <c r="M173" s="54"/>
      <c r="N173" s="50"/>
      <c r="O173" s="50"/>
    </row>
    <row r="174" spans="1:15">
      <c r="A174" s="45"/>
      <c r="B174" s="45"/>
      <c r="C174" s="46"/>
      <c r="D174" s="47"/>
      <c r="E174" s="46">
        <f t="shared" si="9"/>
        <v>0</v>
      </c>
      <c r="F174" s="45"/>
      <c r="G174" s="48"/>
      <c r="H174" s="45"/>
      <c r="I174" s="45"/>
      <c r="J174" s="49"/>
      <c r="K174" s="45"/>
      <c r="L174" s="45"/>
      <c r="M174" s="49"/>
      <c r="N174" s="45"/>
      <c r="O174" s="45"/>
    </row>
    <row r="175" spans="1:15">
      <c r="A175" s="50"/>
      <c r="B175" s="50"/>
      <c r="C175" s="51"/>
      <c r="D175" s="52"/>
      <c r="E175" s="46">
        <f t="shared" si="9"/>
        <v>0</v>
      </c>
      <c r="F175" s="50"/>
      <c r="G175" s="53"/>
      <c r="H175" s="50"/>
      <c r="I175" s="50"/>
      <c r="J175" s="54"/>
      <c r="K175" s="50"/>
      <c r="L175" s="50"/>
      <c r="M175" s="54"/>
      <c r="N175" s="50"/>
      <c r="O175" s="50"/>
    </row>
    <row r="176" spans="1:15">
      <c r="A176" s="45"/>
      <c r="B176" s="45"/>
      <c r="C176" s="46"/>
      <c r="D176" s="47"/>
      <c r="E176" s="46">
        <f t="shared" si="9"/>
        <v>0</v>
      </c>
      <c r="F176" s="45"/>
      <c r="G176" s="48"/>
      <c r="H176" s="45"/>
      <c r="I176" s="45"/>
      <c r="J176" s="49"/>
      <c r="K176" s="45"/>
      <c r="L176" s="45"/>
      <c r="M176" s="49"/>
      <c r="N176" s="45"/>
      <c r="O176" s="45"/>
    </row>
    <row r="177" spans="1:15">
      <c r="A177" s="50"/>
      <c r="B177" s="50"/>
      <c r="C177" s="51"/>
      <c r="D177" s="52"/>
      <c r="E177" s="46">
        <f t="shared" si="9"/>
        <v>0</v>
      </c>
      <c r="F177" s="50"/>
      <c r="G177" s="53"/>
      <c r="H177" s="50"/>
      <c r="I177" s="50"/>
      <c r="J177" s="54"/>
      <c r="K177" s="50"/>
      <c r="L177" s="50"/>
      <c r="M177" s="54"/>
      <c r="N177" s="50"/>
      <c r="O177" s="50"/>
    </row>
    <row r="178" spans="1:15">
      <c r="A178" s="45"/>
      <c r="B178" s="45"/>
      <c r="C178" s="46"/>
      <c r="D178" s="47"/>
      <c r="E178" s="46">
        <f t="shared" si="9"/>
        <v>0</v>
      </c>
      <c r="F178" s="45"/>
      <c r="G178" s="48"/>
      <c r="H178" s="45"/>
      <c r="I178" s="45"/>
      <c r="J178" s="49"/>
      <c r="K178" s="45"/>
      <c r="L178" s="45"/>
      <c r="M178" s="49"/>
      <c r="N178" s="45"/>
      <c r="O178" s="45"/>
    </row>
    <row r="179" spans="1:15">
      <c r="A179" s="50"/>
      <c r="B179" s="50"/>
      <c r="C179" s="51"/>
      <c r="D179" s="52"/>
      <c r="E179" s="46">
        <f t="shared" si="9"/>
        <v>0</v>
      </c>
      <c r="F179" s="50"/>
      <c r="G179" s="53"/>
      <c r="H179" s="50"/>
      <c r="I179" s="50"/>
      <c r="J179" s="54"/>
      <c r="K179" s="50"/>
      <c r="L179" s="50"/>
      <c r="M179" s="54"/>
      <c r="N179" s="50"/>
      <c r="O179" s="50"/>
    </row>
    <row r="180" spans="1:15">
      <c r="A180" s="45"/>
      <c r="B180" s="45"/>
      <c r="C180" s="46"/>
      <c r="D180" s="47"/>
      <c r="E180" s="46">
        <f t="shared" si="9"/>
        <v>0</v>
      </c>
      <c r="F180" s="45"/>
      <c r="G180" s="48"/>
      <c r="H180" s="45"/>
      <c r="I180" s="45"/>
      <c r="J180" s="49"/>
      <c r="K180" s="45"/>
      <c r="L180" s="45"/>
      <c r="M180" s="49"/>
      <c r="N180" s="45"/>
      <c r="O180" s="45"/>
    </row>
    <row r="181" spans="1:15">
      <c r="A181" s="50"/>
      <c r="B181" s="50"/>
      <c r="C181" s="51"/>
      <c r="D181" s="52"/>
      <c r="E181" s="46">
        <f t="shared" si="9"/>
        <v>0</v>
      </c>
      <c r="F181" s="50"/>
      <c r="G181" s="53"/>
      <c r="H181" s="50"/>
      <c r="I181" s="50"/>
      <c r="J181" s="54"/>
      <c r="K181" s="50"/>
      <c r="L181" s="50"/>
      <c r="M181" s="54"/>
      <c r="N181" s="50"/>
      <c r="O181" s="50"/>
    </row>
    <row r="182" spans="1:15">
      <c r="A182" s="45"/>
      <c r="B182" s="45"/>
      <c r="C182" s="46"/>
      <c r="D182" s="47"/>
      <c r="E182" s="46">
        <f t="shared" si="9"/>
        <v>0</v>
      </c>
      <c r="F182" s="45"/>
      <c r="G182" s="48"/>
      <c r="H182" s="45"/>
      <c r="I182" s="45"/>
      <c r="J182" s="49"/>
      <c r="K182" s="45"/>
      <c r="L182" s="45"/>
      <c r="M182" s="49"/>
      <c r="N182" s="45"/>
      <c r="O182" s="45"/>
    </row>
    <row r="183" spans="1:15">
      <c r="A183" s="50"/>
      <c r="B183" s="50"/>
      <c r="C183" s="51"/>
      <c r="D183" s="52"/>
      <c r="E183" s="46">
        <f t="shared" ref="E183:E246" si="10">D183*C183</f>
        <v>0</v>
      </c>
      <c r="F183" s="50"/>
      <c r="G183" s="53"/>
      <c r="H183" s="50"/>
      <c r="I183" s="50"/>
      <c r="J183" s="54"/>
      <c r="K183" s="50"/>
      <c r="L183" s="50"/>
      <c r="M183" s="54"/>
      <c r="N183" s="50"/>
      <c r="O183" s="50"/>
    </row>
    <row r="184" spans="1:15">
      <c r="A184" s="45"/>
      <c r="B184" s="45"/>
      <c r="C184" s="46"/>
      <c r="D184" s="47"/>
      <c r="E184" s="46">
        <f t="shared" si="10"/>
        <v>0</v>
      </c>
      <c r="F184" s="45"/>
      <c r="G184" s="48"/>
      <c r="H184" s="45"/>
      <c r="I184" s="45"/>
      <c r="J184" s="49"/>
      <c r="K184" s="45"/>
      <c r="L184" s="45"/>
      <c r="M184" s="49"/>
      <c r="N184" s="45"/>
      <c r="O184" s="45"/>
    </row>
    <row r="185" spans="1:15">
      <c r="A185" s="50"/>
      <c r="B185" s="50"/>
      <c r="C185" s="51"/>
      <c r="D185" s="52"/>
      <c r="E185" s="46">
        <f t="shared" si="10"/>
        <v>0</v>
      </c>
      <c r="F185" s="50"/>
      <c r="G185" s="53"/>
      <c r="H185" s="50"/>
      <c r="I185" s="50"/>
      <c r="J185" s="54"/>
      <c r="K185" s="50"/>
      <c r="L185" s="50"/>
      <c r="M185" s="54"/>
      <c r="N185" s="50"/>
      <c r="O185" s="50"/>
    </row>
    <row r="186" spans="1:15">
      <c r="A186" s="45"/>
      <c r="B186" s="45"/>
      <c r="C186" s="46"/>
      <c r="D186" s="47"/>
      <c r="E186" s="46">
        <f t="shared" si="10"/>
        <v>0</v>
      </c>
      <c r="F186" s="45"/>
      <c r="G186" s="48"/>
      <c r="H186" s="45"/>
      <c r="I186" s="45"/>
      <c r="J186" s="49"/>
      <c r="K186" s="45"/>
      <c r="L186" s="45"/>
      <c r="M186" s="49"/>
      <c r="N186" s="45"/>
      <c r="O186" s="45"/>
    </row>
    <row r="187" spans="1:15">
      <c r="A187" s="50"/>
      <c r="B187" s="50"/>
      <c r="C187" s="51"/>
      <c r="D187" s="52"/>
      <c r="E187" s="46">
        <f t="shared" si="10"/>
        <v>0</v>
      </c>
      <c r="F187" s="50"/>
      <c r="G187" s="53"/>
      <c r="H187" s="50"/>
      <c r="I187" s="50"/>
      <c r="J187" s="54"/>
      <c r="K187" s="50"/>
      <c r="L187" s="50"/>
      <c r="M187" s="54"/>
      <c r="N187" s="50"/>
      <c r="O187" s="50"/>
    </row>
    <row r="188" spans="1:15">
      <c r="A188" s="45"/>
      <c r="B188" s="45"/>
      <c r="C188" s="46"/>
      <c r="D188" s="47"/>
      <c r="E188" s="46">
        <f t="shared" si="10"/>
        <v>0</v>
      </c>
      <c r="F188" s="45"/>
      <c r="G188" s="48"/>
      <c r="H188" s="45"/>
      <c r="I188" s="45"/>
      <c r="J188" s="49"/>
      <c r="K188" s="45"/>
      <c r="L188" s="45"/>
      <c r="M188" s="49"/>
      <c r="N188" s="45"/>
      <c r="O188" s="45"/>
    </row>
    <row r="189" spans="1:15">
      <c r="A189" s="50"/>
      <c r="B189" s="50"/>
      <c r="C189" s="51"/>
      <c r="D189" s="52"/>
      <c r="E189" s="46">
        <f t="shared" si="10"/>
        <v>0</v>
      </c>
      <c r="F189" s="50"/>
      <c r="G189" s="53"/>
      <c r="H189" s="50"/>
      <c r="I189" s="50"/>
      <c r="J189" s="54"/>
      <c r="K189" s="50"/>
      <c r="L189" s="50"/>
      <c r="M189" s="54"/>
      <c r="N189" s="50"/>
      <c r="O189" s="50"/>
    </row>
    <row r="190" spans="1:15">
      <c r="A190" s="45"/>
      <c r="B190" s="45"/>
      <c r="C190" s="46"/>
      <c r="D190" s="47"/>
      <c r="E190" s="46">
        <f t="shared" si="10"/>
        <v>0</v>
      </c>
      <c r="F190" s="45"/>
      <c r="G190" s="48"/>
      <c r="H190" s="45"/>
      <c r="I190" s="45"/>
      <c r="J190" s="49"/>
      <c r="K190" s="45"/>
      <c r="L190" s="45"/>
      <c r="M190" s="49"/>
      <c r="N190" s="45"/>
      <c r="O190" s="45"/>
    </row>
    <row r="191" spans="1:15">
      <c r="A191" s="50"/>
      <c r="B191" s="50"/>
      <c r="C191" s="51"/>
      <c r="D191" s="52"/>
      <c r="E191" s="46">
        <f t="shared" si="10"/>
        <v>0</v>
      </c>
      <c r="F191" s="50"/>
      <c r="G191" s="53"/>
      <c r="H191" s="50"/>
      <c r="I191" s="50"/>
      <c r="J191" s="54"/>
      <c r="K191" s="50"/>
      <c r="L191" s="50"/>
      <c r="M191" s="54"/>
      <c r="N191" s="50"/>
      <c r="O191" s="50"/>
    </row>
    <row r="192" spans="1:15">
      <c r="A192" s="45"/>
      <c r="B192" s="45"/>
      <c r="C192" s="46"/>
      <c r="D192" s="47"/>
      <c r="E192" s="46">
        <f t="shared" si="10"/>
        <v>0</v>
      </c>
      <c r="F192" s="45"/>
      <c r="G192" s="48"/>
      <c r="H192" s="45"/>
      <c r="I192" s="45"/>
      <c r="J192" s="49"/>
      <c r="K192" s="45"/>
      <c r="L192" s="45"/>
      <c r="M192" s="49"/>
      <c r="N192" s="45"/>
      <c r="O192" s="45"/>
    </row>
    <row r="193" spans="1:15">
      <c r="A193" s="50"/>
      <c r="B193" s="50"/>
      <c r="C193" s="51"/>
      <c r="D193" s="52"/>
      <c r="E193" s="46">
        <f t="shared" si="10"/>
        <v>0</v>
      </c>
      <c r="F193" s="50"/>
      <c r="G193" s="53"/>
      <c r="H193" s="50"/>
      <c r="I193" s="50"/>
      <c r="J193" s="54"/>
      <c r="K193" s="50"/>
      <c r="L193" s="50"/>
      <c r="M193" s="54"/>
      <c r="N193" s="50"/>
      <c r="O193" s="50"/>
    </row>
    <row r="194" spans="1:15">
      <c r="A194" s="45"/>
      <c r="B194" s="45"/>
      <c r="C194" s="46"/>
      <c r="D194" s="47"/>
      <c r="E194" s="46">
        <f t="shared" si="10"/>
        <v>0</v>
      </c>
      <c r="F194" s="45"/>
      <c r="G194" s="48"/>
      <c r="H194" s="45"/>
      <c r="I194" s="45"/>
      <c r="J194" s="49"/>
      <c r="K194" s="45"/>
      <c r="L194" s="45"/>
      <c r="M194" s="49"/>
      <c r="N194" s="45"/>
      <c r="O194" s="45"/>
    </row>
    <row r="195" spans="1:15">
      <c r="A195" s="50"/>
      <c r="B195" s="50"/>
      <c r="C195" s="51"/>
      <c r="D195" s="52"/>
      <c r="E195" s="46">
        <f t="shared" si="10"/>
        <v>0</v>
      </c>
      <c r="F195" s="50"/>
      <c r="G195" s="53"/>
      <c r="H195" s="50"/>
      <c r="I195" s="50"/>
      <c r="J195" s="54"/>
      <c r="K195" s="50"/>
      <c r="L195" s="50"/>
      <c r="M195" s="54"/>
      <c r="N195" s="50"/>
      <c r="O195" s="50"/>
    </row>
    <row r="196" spans="1:15">
      <c r="A196" s="45"/>
      <c r="B196" s="45"/>
      <c r="C196" s="46"/>
      <c r="D196" s="47"/>
      <c r="E196" s="46">
        <f t="shared" si="10"/>
        <v>0</v>
      </c>
      <c r="F196" s="45"/>
      <c r="G196" s="48"/>
      <c r="H196" s="45"/>
      <c r="I196" s="45"/>
      <c r="J196" s="49"/>
      <c r="K196" s="45"/>
      <c r="L196" s="45"/>
      <c r="M196" s="49"/>
      <c r="N196" s="45"/>
      <c r="O196" s="45"/>
    </row>
    <row r="197" spans="1:15">
      <c r="A197" s="50"/>
      <c r="B197" s="50"/>
      <c r="C197" s="51"/>
      <c r="D197" s="52"/>
      <c r="E197" s="46">
        <f t="shared" si="10"/>
        <v>0</v>
      </c>
      <c r="F197" s="50"/>
      <c r="G197" s="53"/>
      <c r="H197" s="50"/>
      <c r="I197" s="50"/>
      <c r="J197" s="54"/>
      <c r="K197" s="50"/>
      <c r="L197" s="50"/>
      <c r="M197" s="54"/>
      <c r="N197" s="50"/>
      <c r="O197" s="50"/>
    </row>
    <row r="198" spans="1:15">
      <c r="A198" s="45"/>
      <c r="B198" s="45"/>
      <c r="C198" s="46"/>
      <c r="D198" s="47"/>
      <c r="E198" s="46">
        <f t="shared" si="10"/>
        <v>0</v>
      </c>
      <c r="F198" s="45"/>
      <c r="G198" s="48"/>
      <c r="H198" s="45"/>
      <c r="I198" s="45"/>
      <c r="J198" s="49"/>
      <c r="K198" s="45"/>
      <c r="L198" s="45"/>
      <c r="M198" s="49"/>
      <c r="N198" s="45"/>
      <c r="O198" s="45"/>
    </row>
    <row r="199" spans="1:15">
      <c r="A199" s="50"/>
      <c r="B199" s="50"/>
      <c r="C199" s="51"/>
      <c r="D199" s="52"/>
      <c r="E199" s="46">
        <f t="shared" si="10"/>
        <v>0</v>
      </c>
      <c r="F199" s="50"/>
      <c r="G199" s="53"/>
      <c r="H199" s="50"/>
      <c r="I199" s="50"/>
      <c r="J199" s="54"/>
      <c r="K199" s="50"/>
      <c r="L199" s="50"/>
      <c r="M199" s="54"/>
      <c r="N199" s="50"/>
      <c r="O199" s="50"/>
    </row>
    <row r="200" spans="1:15">
      <c r="A200" s="45"/>
      <c r="B200" s="45"/>
      <c r="C200" s="46"/>
      <c r="D200" s="47"/>
      <c r="E200" s="46">
        <f t="shared" si="10"/>
        <v>0</v>
      </c>
      <c r="F200" s="45"/>
      <c r="G200" s="48"/>
      <c r="H200" s="45"/>
      <c r="I200" s="45"/>
      <c r="J200" s="49"/>
      <c r="K200" s="45"/>
      <c r="L200" s="45"/>
      <c r="M200" s="49"/>
      <c r="N200" s="45"/>
      <c r="O200" s="45"/>
    </row>
    <row r="201" spans="1:15">
      <c r="A201" s="50"/>
      <c r="B201" s="50"/>
      <c r="C201" s="51"/>
      <c r="D201" s="52"/>
      <c r="E201" s="46">
        <f t="shared" si="10"/>
        <v>0</v>
      </c>
      <c r="F201" s="50"/>
      <c r="G201" s="53"/>
      <c r="H201" s="50"/>
      <c r="I201" s="50"/>
      <c r="J201" s="54"/>
      <c r="K201" s="50"/>
      <c r="L201" s="50"/>
      <c r="M201" s="54"/>
      <c r="N201" s="50"/>
      <c r="O201" s="50"/>
    </row>
    <row r="202" spans="1:15">
      <c r="A202" s="45"/>
      <c r="B202" s="45"/>
      <c r="C202" s="46"/>
      <c r="D202" s="47"/>
      <c r="E202" s="46">
        <f t="shared" si="10"/>
        <v>0</v>
      </c>
      <c r="F202" s="45"/>
      <c r="G202" s="48"/>
      <c r="H202" s="45"/>
      <c r="I202" s="45"/>
      <c r="J202" s="49"/>
      <c r="K202" s="45"/>
      <c r="L202" s="45"/>
      <c r="M202" s="49"/>
      <c r="N202" s="45"/>
      <c r="O202" s="45"/>
    </row>
    <row r="203" spans="1:15">
      <c r="A203" s="50"/>
      <c r="B203" s="50"/>
      <c r="C203" s="51"/>
      <c r="D203" s="52"/>
      <c r="E203" s="46">
        <f t="shared" si="10"/>
        <v>0</v>
      </c>
      <c r="F203" s="50"/>
      <c r="G203" s="53"/>
      <c r="H203" s="50"/>
      <c r="I203" s="50"/>
      <c r="J203" s="54"/>
      <c r="K203" s="50"/>
      <c r="L203" s="50"/>
      <c r="M203" s="54"/>
      <c r="N203" s="50"/>
      <c r="O203" s="50"/>
    </row>
    <row r="204" spans="1:15">
      <c r="A204" s="45"/>
      <c r="B204" s="45"/>
      <c r="C204" s="46"/>
      <c r="D204" s="47"/>
      <c r="E204" s="46">
        <f t="shared" si="10"/>
        <v>0</v>
      </c>
      <c r="F204" s="45"/>
      <c r="G204" s="48"/>
      <c r="H204" s="45"/>
      <c r="I204" s="45"/>
      <c r="J204" s="49"/>
      <c r="K204" s="45"/>
      <c r="L204" s="45"/>
      <c r="M204" s="49"/>
      <c r="N204" s="45"/>
      <c r="O204" s="45"/>
    </row>
    <row r="205" spans="1:15">
      <c r="A205" s="50"/>
      <c r="B205" s="50"/>
      <c r="C205" s="51"/>
      <c r="D205" s="52"/>
      <c r="E205" s="46">
        <f t="shared" si="10"/>
        <v>0</v>
      </c>
      <c r="F205" s="50"/>
      <c r="G205" s="53"/>
      <c r="H205" s="50"/>
      <c r="I205" s="50"/>
      <c r="J205" s="54"/>
      <c r="K205" s="50"/>
      <c r="L205" s="50"/>
      <c r="M205" s="54"/>
      <c r="N205" s="50"/>
      <c r="O205" s="50"/>
    </row>
    <row r="206" spans="1:15">
      <c r="A206" s="45"/>
      <c r="B206" s="45"/>
      <c r="C206" s="46"/>
      <c r="D206" s="47"/>
      <c r="E206" s="46">
        <f t="shared" si="10"/>
        <v>0</v>
      </c>
      <c r="F206" s="45"/>
      <c r="G206" s="48"/>
      <c r="H206" s="45"/>
      <c r="I206" s="45"/>
      <c r="J206" s="49"/>
      <c r="K206" s="45"/>
      <c r="L206" s="45"/>
      <c r="M206" s="49"/>
      <c r="N206" s="45"/>
      <c r="O206" s="45"/>
    </row>
    <row r="207" spans="1:15">
      <c r="A207" s="50"/>
      <c r="B207" s="50"/>
      <c r="C207" s="51"/>
      <c r="D207" s="52"/>
      <c r="E207" s="46">
        <f t="shared" si="10"/>
        <v>0</v>
      </c>
      <c r="F207" s="50"/>
      <c r="G207" s="53"/>
      <c r="H207" s="50"/>
      <c r="I207" s="50"/>
      <c r="J207" s="54"/>
      <c r="K207" s="50"/>
      <c r="L207" s="50"/>
      <c r="M207" s="54"/>
      <c r="N207" s="50"/>
      <c r="O207" s="50"/>
    </row>
    <row r="208" spans="1:15">
      <c r="A208" s="45"/>
      <c r="B208" s="45"/>
      <c r="C208" s="46"/>
      <c r="D208" s="47"/>
      <c r="E208" s="46">
        <f t="shared" si="10"/>
        <v>0</v>
      </c>
      <c r="F208" s="45"/>
      <c r="G208" s="48"/>
      <c r="H208" s="45"/>
      <c r="I208" s="45"/>
      <c r="J208" s="49"/>
      <c r="K208" s="45"/>
      <c r="L208" s="45"/>
      <c r="M208" s="49"/>
      <c r="N208" s="45"/>
      <c r="O208" s="45"/>
    </row>
    <row r="209" spans="1:15">
      <c r="A209" s="50"/>
      <c r="B209" s="50"/>
      <c r="C209" s="51"/>
      <c r="D209" s="52"/>
      <c r="E209" s="46">
        <f t="shared" si="10"/>
        <v>0</v>
      </c>
      <c r="F209" s="50"/>
      <c r="G209" s="53"/>
      <c r="H209" s="50"/>
      <c r="I209" s="50"/>
      <c r="J209" s="54"/>
      <c r="K209" s="50"/>
      <c r="L209" s="50"/>
      <c r="M209" s="54"/>
      <c r="N209" s="50"/>
      <c r="O209" s="50"/>
    </row>
    <row r="210" spans="1:15">
      <c r="A210" s="45"/>
      <c r="B210" s="45"/>
      <c r="C210" s="46"/>
      <c r="D210" s="47"/>
      <c r="E210" s="46">
        <f t="shared" si="10"/>
        <v>0</v>
      </c>
      <c r="F210" s="45"/>
      <c r="G210" s="48"/>
      <c r="H210" s="45"/>
      <c r="I210" s="45"/>
      <c r="J210" s="49"/>
      <c r="K210" s="45"/>
      <c r="L210" s="45"/>
      <c r="M210" s="49"/>
      <c r="N210" s="45"/>
      <c r="O210" s="45"/>
    </row>
    <row r="211" spans="1:15">
      <c r="A211" s="50"/>
      <c r="B211" s="50"/>
      <c r="C211" s="51"/>
      <c r="D211" s="52"/>
      <c r="E211" s="46">
        <f t="shared" si="10"/>
        <v>0</v>
      </c>
      <c r="F211" s="50"/>
      <c r="G211" s="53"/>
      <c r="H211" s="50"/>
      <c r="I211" s="50"/>
      <c r="J211" s="54"/>
      <c r="K211" s="50"/>
      <c r="L211" s="50"/>
      <c r="M211" s="54"/>
      <c r="N211" s="50"/>
      <c r="O211" s="50"/>
    </row>
    <row r="212" spans="1:15">
      <c r="A212" s="45"/>
      <c r="B212" s="45"/>
      <c r="C212" s="46"/>
      <c r="D212" s="47"/>
      <c r="E212" s="46">
        <f t="shared" si="10"/>
        <v>0</v>
      </c>
      <c r="F212" s="45"/>
      <c r="G212" s="48"/>
      <c r="H212" s="45"/>
      <c r="I212" s="45"/>
      <c r="J212" s="49"/>
      <c r="K212" s="45"/>
      <c r="L212" s="45"/>
      <c r="M212" s="49"/>
      <c r="N212" s="45"/>
      <c r="O212" s="45"/>
    </row>
    <row r="213" spans="1:15">
      <c r="A213" s="50"/>
      <c r="B213" s="50"/>
      <c r="C213" s="51"/>
      <c r="D213" s="52"/>
      <c r="E213" s="46">
        <f t="shared" si="10"/>
        <v>0</v>
      </c>
      <c r="F213" s="50"/>
      <c r="G213" s="53"/>
      <c r="H213" s="50"/>
      <c r="I213" s="50"/>
      <c r="J213" s="54"/>
      <c r="K213" s="50"/>
      <c r="L213" s="50"/>
      <c r="M213" s="54"/>
      <c r="N213" s="50"/>
      <c r="O213" s="50"/>
    </row>
    <row r="214" spans="1:15">
      <c r="A214" s="45"/>
      <c r="B214" s="45"/>
      <c r="C214" s="46"/>
      <c r="D214" s="47"/>
      <c r="E214" s="46">
        <f t="shared" si="10"/>
        <v>0</v>
      </c>
      <c r="F214" s="45"/>
      <c r="G214" s="48"/>
      <c r="H214" s="45"/>
      <c r="I214" s="45"/>
      <c r="J214" s="49"/>
      <c r="K214" s="45"/>
      <c r="L214" s="45"/>
      <c r="M214" s="49"/>
      <c r="N214" s="45"/>
      <c r="O214" s="45"/>
    </row>
    <row r="215" spans="1:15">
      <c r="A215" s="50"/>
      <c r="B215" s="50"/>
      <c r="C215" s="51"/>
      <c r="D215" s="52"/>
      <c r="E215" s="46">
        <f t="shared" si="10"/>
        <v>0</v>
      </c>
      <c r="F215" s="50"/>
      <c r="G215" s="53"/>
      <c r="H215" s="50"/>
      <c r="I215" s="50"/>
      <c r="J215" s="54"/>
      <c r="K215" s="50"/>
      <c r="L215" s="50"/>
      <c r="M215" s="54"/>
      <c r="N215" s="50"/>
      <c r="O215" s="50"/>
    </row>
    <row r="216" spans="1:15">
      <c r="A216" s="45"/>
      <c r="B216" s="45"/>
      <c r="C216" s="46"/>
      <c r="D216" s="47"/>
      <c r="E216" s="46">
        <f t="shared" si="10"/>
        <v>0</v>
      </c>
      <c r="F216" s="45"/>
      <c r="G216" s="48"/>
      <c r="H216" s="45"/>
      <c r="I216" s="45"/>
      <c r="J216" s="49"/>
      <c r="K216" s="45"/>
      <c r="L216" s="45"/>
      <c r="M216" s="49"/>
      <c r="N216" s="45"/>
      <c r="O216" s="45"/>
    </row>
    <row r="217" spans="1:15">
      <c r="A217" s="50"/>
      <c r="B217" s="50"/>
      <c r="C217" s="51"/>
      <c r="D217" s="52"/>
      <c r="E217" s="46">
        <f t="shared" si="10"/>
        <v>0</v>
      </c>
      <c r="F217" s="50"/>
      <c r="G217" s="53"/>
      <c r="H217" s="50"/>
      <c r="I217" s="50"/>
      <c r="J217" s="54"/>
      <c r="K217" s="50"/>
      <c r="L217" s="50"/>
      <c r="M217" s="54"/>
      <c r="N217" s="50"/>
      <c r="O217" s="50"/>
    </row>
    <row r="218" spans="1:15">
      <c r="A218" s="45"/>
      <c r="B218" s="45"/>
      <c r="C218" s="46"/>
      <c r="D218" s="47"/>
      <c r="E218" s="46">
        <f t="shared" si="10"/>
        <v>0</v>
      </c>
      <c r="F218" s="45"/>
      <c r="G218" s="48"/>
      <c r="H218" s="45"/>
      <c r="I218" s="45"/>
      <c r="J218" s="49"/>
      <c r="K218" s="45"/>
      <c r="L218" s="45"/>
      <c r="M218" s="49"/>
      <c r="N218" s="45"/>
      <c r="O218" s="45"/>
    </row>
    <row r="219" spans="1:15">
      <c r="A219" s="50"/>
      <c r="B219" s="50"/>
      <c r="C219" s="51"/>
      <c r="D219" s="52"/>
      <c r="E219" s="46">
        <f t="shared" si="10"/>
        <v>0</v>
      </c>
      <c r="F219" s="50"/>
      <c r="G219" s="53"/>
      <c r="H219" s="50"/>
      <c r="I219" s="50"/>
      <c r="J219" s="54"/>
      <c r="K219" s="50"/>
      <c r="L219" s="50"/>
      <c r="M219" s="54"/>
      <c r="N219" s="50"/>
      <c r="O219" s="50"/>
    </row>
    <row r="220" spans="1:15">
      <c r="A220" s="45"/>
      <c r="B220" s="45"/>
      <c r="C220" s="46"/>
      <c r="D220" s="47"/>
      <c r="E220" s="46">
        <f t="shared" si="10"/>
        <v>0</v>
      </c>
      <c r="F220" s="45"/>
      <c r="G220" s="48"/>
      <c r="H220" s="45"/>
      <c r="I220" s="45"/>
      <c r="J220" s="49"/>
      <c r="K220" s="45"/>
      <c r="L220" s="45"/>
      <c r="M220" s="49"/>
      <c r="N220" s="45"/>
      <c r="O220" s="45"/>
    </row>
    <row r="221" spans="1:15">
      <c r="A221" s="50"/>
      <c r="B221" s="50"/>
      <c r="C221" s="51"/>
      <c r="D221" s="52"/>
      <c r="E221" s="46">
        <f t="shared" si="10"/>
        <v>0</v>
      </c>
      <c r="F221" s="50"/>
      <c r="G221" s="53"/>
      <c r="H221" s="50"/>
      <c r="I221" s="50"/>
      <c r="J221" s="54"/>
      <c r="K221" s="50"/>
      <c r="L221" s="50"/>
      <c r="M221" s="54"/>
      <c r="N221" s="50"/>
      <c r="O221" s="50"/>
    </row>
    <row r="222" spans="1:15">
      <c r="A222" s="45"/>
      <c r="B222" s="45"/>
      <c r="C222" s="46"/>
      <c r="D222" s="47"/>
      <c r="E222" s="46">
        <f t="shared" si="10"/>
        <v>0</v>
      </c>
      <c r="F222" s="45"/>
      <c r="G222" s="48"/>
      <c r="H222" s="45"/>
      <c r="I222" s="45"/>
      <c r="J222" s="49"/>
      <c r="K222" s="45"/>
      <c r="L222" s="45"/>
      <c r="M222" s="49"/>
      <c r="N222" s="45"/>
      <c r="O222" s="45"/>
    </row>
    <row r="223" spans="1:15">
      <c r="A223" s="50"/>
      <c r="B223" s="50"/>
      <c r="C223" s="51"/>
      <c r="D223" s="52"/>
      <c r="E223" s="46">
        <f t="shared" si="10"/>
        <v>0</v>
      </c>
      <c r="F223" s="50"/>
      <c r="G223" s="53"/>
      <c r="H223" s="50"/>
      <c r="I223" s="50"/>
      <c r="J223" s="54"/>
      <c r="K223" s="50"/>
      <c r="L223" s="50"/>
      <c r="M223" s="54"/>
      <c r="N223" s="50"/>
      <c r="O223" s="50"/>
    </row>
    <row r="224" spans="1:15">
      <c r="A224" s="45"/>
      <c r="B224" s="45"/>
      <c r="C224" s="46"/>
      <c r="D224" s="47"/>
      <c r="E224" s="46">
        <f t="shared" si="10"/>
        <v>0</v>
      </c>
      <c r="F224" s="45"/>
      <c r="G224" s="48"/>
      <c r="H224" s="45"/>
      <c r="I224" s="45"/>
      <c r="J224" s="49"/>
      <c r="K224" s="45"/>
      <c r="L224" s="45"/>
      <c r="M224" s="49"/>
      <c r="N224" s="45"/>
      <c r="O224" s="45"/>
    </row>
    <row r="225" spans="1:15">
      <c r="A225" s="50"/>
      <c r="B225" s="50"/>
      <c r="C225" s="51"/>
      <c r="D225" s="52"/>
      <c r="E225" s="46">
        <f t="shared" si="10"/>
        <v>0</v>
      </c>
      <c r="F225" s="50"/>
      <c r="G225" s="53"/>
      <c r="H225" s="50"/>
      <c r="I225" s="50"/>
      <c r="J225" s="54"/>
      <c r="K225" s="50"/>
      <c r="L225" s="50"/>
      <c r="M225" s="54"/>
      <c r="N225" s="50"/>
      <c r="O225" s="50"/>
    </row>
    <row r="226" spans="1:15">
      <c r="A226" s="45"/>
      <c r="B226" s="45"/>
      <c r="C226" s="46"/>
      <c r="D226" s="47"/>
      <c r="E226" s="46">
        <f t="shared" si="10"/>
        <v>0</v>
      </c>
      <c r="F226" s="45"/>
      <c r="G226" s="48"/>
      <c r="H226" s="45"/>
      <c r="I226" s="45"/>
      <c r="J226" s="49"/>
      <c r="K226" s="45"/>
      <c r="L226" s="45"/>
      <c r="M226" s="49"/>
      <c r="N226" s="45"/>
      <c r="O226" s="45"/>
    </row>
    <row r="227" spans="1:15">
      <c r="A227" s="50"/>
      <c r="B227" s="50"/>
      <c r="C227" s="51"/>
      <c r="D227" s="52"/>
      <c r="E227" s="46">
        <f t="shared" si="10"/>
        <v>0</v>
      </c>
      <c r="F227" s="50"/>
      <c r="G227" s="53"/>
      <c r="H227" s="50"/>
      <c r="I227" s="50"/>
      <c r="J227" s="54"/>
      <c r="K227" s="50"/>
      <c r="L227" s="50"/>
      <c r="M227" s="54"/>
      <c r="N227" s="50"/>
      <c r="O227" s="50"/>
    </row>
    <row r="228" spans="1:15">
      <c r="A228" s="45"/>
      <c r="B228" s="45"/>
      <c r="C228" s="46"/>
      <c r="D228" s="47"/>
      <c r="E228" s="46">
        <f t="shared" si="10"/>
        <v>0</v>
      </c>
      <c r="F228" s="45"/>
      <c r="G228" s="48"/>
      <c r="H228" s="45"/>
      <c r="I228" s="45"/>
      <c r="J228" s="49"/>
      <c r="K228" s="45"/>
      <c r="L228" s="45"/>
      <c r="M228" s="49"/>
      <c r="N228" s="45"/>
      <c r="O228" s="45"/>
    </row>
    <row r="229" spans="1:15">
      <c r="A229" s="50"/>
      <c r="B229" s="50"/>
      <c r="C229" s="51"/>
      <c r="D229" s="52"/>
      <c r="E229" s="46">
        <f t="shared" si="10"/>
        <v>0</v>
      </c>
      <c r="F229" s="50"/>
      <c r="G229" s="53"/>
      <c r="H229" s="50"/>
      <c r="I229" s="50"/>
      <c r="J229" s="54"/>
      <c r="K229" s="50"/>
      <c r="L229" s="50"/>
      <c r="M229" s="54"/>
      <c r="N229" s="50"/>
      <c r="O229" s="50"/>
    </row>
    <row r="230" spans="1:15">
      <c r="A230" s="45"/>
      <c r="B230" s="45"/>
      <c r="C230" s="46"/>
      <c r="D230" s="47"/>
      <c r="E230" s="46">
        <f t="shared" si="10"/>
        <v>0</v>
      </c>
      <c r="F230" s="45"/>
      <c r="G230" s="48"/>
      <c r="H230" s="45"/>
      <c r="I230" s="45"/>
      <c r="J230" s="49"/>
      <c r="K230" s="45"/>
      <c r="L230" s="45"/>
      <c r="M230" s="49"/>
      <c r="N230" s="45"/>
      <c r="O230" s="45"/>
    </row>
    <row r="231" spans="1:15">
      <c r="A231" s="50"/>
      <c r="B231" s="50"/>
      <c r="C231" s="51"/>
      <c r="D231" s="52"/>
      <c r="E231" s="46">
        <f t="shared" si="10"/>
        <v>0</v>
      </c>
      <c r="F231" s="50"/>
      <c r="G231" s="53"/>
      <c r="H231" s="50"/>
      <c r="I231" s="50"/>
      <c r="J231" s="54"/>
      <c r="K231" s="50"/>
      <c r="L231" s="50"/>
      <c r="M231" s="54"/>
      <c r="N231" s="50"/>
      <c r="O231" s="50"/>
    </row>
    <row r="232" spans="1:15">
      <c r="A232" s="45"/>
      <c r="B232" s="45"/>
      <c r="C232" s="46"/>
      <c r="D232" s="47"/>
      <c r="E232" s="46">
        <f t="shared" si="10"/>
        <v>0</v>
      </c>
      <c r="F232" s="45"/>
      <c r="G232" s="48"/>
      <c r="H232" s="45"/>
      <c r="I232" s="45"/>
      <c r="J232" s="49"/>
      <c r="K232" s="45"/>
      <c r="L232" s="45"/>
      <c r="M232" s="49"/>
      <c r="N232" s="45"/>
      <c r="O232" s="45"/>
    </row>
    <row r="233" spans="1:15">
      <c r="A233" s="50"/>
      <c r="B233" s="50"/>
      <c r="C233" s="51"/>
      <c r="D233" s="52"/>
      <c r="E233" s="46">
        <f t="shared" si="10"/>
        <v>0</v>
      </c>
      <c r="F233" s="50"/>
      <c r="G233" s="53"/>
      <c r="H233" s="50"/>
      <c r="I233" s="50"/>
      <c r="J233" s="54"/>
      <c r="K233" s="50"/>
      <c r="L233" s="50"/>
      <c r="M233" s="54"/>
      <c r="N233" s="50"/>
      <c r="O233" s="50"/>
    </row>
    <row r="234" spans="1:15">
      <c r="A234" s="45"/>
      <c r="B234" s="45"/>
      <c r="C234" s="46"/>
      <c r="D234" s="47"/>
      <c r="E234" s="46">
        <f t="shared" si="10"/>
        <v>0</v>
      </c>
      <c r="F234" s="45"/>
      <c r="G234" s="48"/>
      <c r="H234" s="45"/>
      <c r="I234" s="45"/>
      <c r="J234" s="49"/>
      <c r="K234" s="45"/>
      <c r="L234" s="45"/>
      <c r="M234" s="49"/>
      <c r="N234" s="45"/>
      <c r="O234" s="45"/>
    </row>
    <row r="235" spans="1:15">
      <c r="A235" s="50"/>
      <c r="B235" s="50"/>
      <c r="C235" s="51"/>
      <c r="D235" s="52"/>
      <c r="E235" s="46">
        <f t="shared" si="10"/>
        <v>0</v>
      </c>
      <c r="F235" s="50"/>
      <c r="G235" s="53"/>
      <c r="H235" s="50"/>
      <c r="I235" s="50"/>
      <c r="J235" s="54"/>
      <c r="K235" s="50"/>
      <c r="L235" s="50"/>
      <c r="M235" s="54"/>
      <c r="N235" s="50"/>
      <c r="O235" s="50"/>
    </row>
    <row r="236" spans="1:15">
      <c r="A236" s="45"/>
      <c r="B236" s="45"/>
      <c r="C236" s="46"/>
      <c r="D236" s="47"/>
      <c r="E236" s="46">
        <f t="shared" si="10"/>
        <v>0</v>
      </c>
      <c r="F236" s="45"/>
      <c r="G236" s="48"/>
      <c r="H236" s="45"/>
      <c r="I236" s="45"/>
      <c r="J236" s="49"/>
      <c r="K236" s="45"/>
      <c r="L236" s="45"/>
      <c r="M236" s="49"/>
      <c r="N236" s="45"/>
      <c r="O236" s="45"/>
    </row>
    <row r="237" spans="1:15">
      <c r="A237" s="50"/>
      <c r="B237" s="50"/>
      <c r="C237" s="51"/>
      <c r="D237" s="52"/>
      <c r="E237" s="46">
        <f t="shared" si="10"/>
        <v>0</v>
      </c>
      <c r="F237" s="50"/>
      <c r="G237" s="53"/>
      <c r="H237" s="50"/>
      <c r="I237" s="50"/>
      <c r="J237" s="54"/>
      <c r="K237" s="50"/>
      <c r="L237" s="50"/>
      <c r="M237" s="54"/>
      <c r="N237" s="50"/>
      <c r="O237" s="50"/>
    </row>
    <row r="238" spans="1:15">
      <c r="A238" s="45"/>
      <c r="B238" s="45"/>
      <c r="C238" s="46"/>
      <c r="D238" s="47"/>
      <c r="E238" s="46">
        <f t="shared" si="10"/>
        <v>0</v>
      </c>
      <c r="F238" s="45"/>
      <c r="G238" s="48"/>
      <c r="H238" s="45"/>
      <c r="I238" s="45"/>
      <c r="J238" s="49"/>
      <c r="K238" s="45"/>
      <c r="L238" s="45"/>
      <c r="M238" s="49"/>
      <c r="N238" s="45"/>
      <c r="O238" s="45"/>
    </row>
    <row r="239" spans="1:15">
      <c r="A239" s="50"/>
      <c r="B239" s="50"/>
      <c r="C239" s="51"/>
      <c r="D239" s="52"/>
      <c r="E239" s="46">
        <f t="shared" si="10"/>
        <v>0</v>
      </c>
      <c r="F239" s="50"/>
      <c r="G239" s="53"/>
      <c r="H239" s="50"/>
      <c r="I239" s="50"/>
      <c r="J239" s="54"/>
      <c r="K239" s="50"/>
      <c r="L239" s="50"/>
      <c r="M239" s="54"/>
      <c r="N239" s="50"/>
      <c r="O239" s="50"/>
    </row>
    <row r="240" spans="1:15">
      <c r="A240" s="45"/>
      <c r="B240" s="45"/>
      <c r="C240" s="46"/>
      <c r="D240" s="47"/>
      <c r="E240" s="46">
        <f t="shared" si="10"/>
        <v>0</v>
      </c>
      <c r="F240" s="45"/>
      <c r="G240" s="48"/>
      <c r="H240" s="45"/>
      <c r="I240" s="45"/>
      <c r="J240" s="49"/>
      <c r="K240" s="45"/>
      <c r="L240" s="45"/>
      <c r="M240" s="49"/>
      <c r="N240" s="45"/>
      <c r="O240" s="45"/>
    </row>
    <row r="241" spans="1:15">
      <c r="A241" s="50"/>
      <c r="B241" s="50"/>
      <c r="C241" s="51"/>
      <c r="D241" s="52"/>
      <c r="E241" s="46">
        <f t="shared" si="10"/>
        <v>0</v>
      </c>
      <c r="F241" s="50"/>
      <c r="G241" s="53"/>
      <c r="H241" s="50"/>
      <c r="I241" s="50"/>
      <c r="J241" s="54"/>
      <c r="K241" s="50"/>
      <c r="L241" s="50"/>
      <c r="M241" s="54"/>
      <c r="N241" s="50"/>
      <c r="O241" s="50"/>
    </row>
    <row r="242" spans="1:15">
      <c r="A242" s="45"/>
      <c r="B242" s="45"/>
      <c r="C242" s="46"/>
      <c r="D242" s="47"/>
      <c r="E242" s="46">
        <f t="shared" si="10"/>
        <v>0</v>
      </c>
      <c r="F242" s="45"/>
      <c r="G242" s="48"/>
      <c r="H242" s="45"/>
      <c r="I242" s="45"/>
      <c r="J242" s="49"/>
      <c r="K242" s="45"/>
      <c r="L242" s="45"/>
      <c r="M242" s="49"/>
      <c r="N242" s="45"/>
      <c r="O242" s="45"/>
    </row>
    <row r="243" spans="1:15">
      <c r="A243" s="50"/>
      <c r="B243" s="50"/>
      <c r="C243" s="51"/>
      <c r="D243" s="52"/>
      <c r="E243" s="46">
        <f t="shared" si="10"/>
        <v>0</v>
      </c>
      <c r="F243" s="50"/>
      <c r="G243" s="53"/>
      <c r="H243" s="50"/>
      <c r="I243" s="50"/>
      <c r="J243" s="54"/>
      <c r="K243" s="50"/>
      <c r="L243" s="50"/>
      <c r="M243" s="54"/>
      <c r="N243" s="50"/>
      <c r="O243" s="50"/>
    </row>
    <row r="244" spans="1:15">
      <c r="A244" s="45"/>
      <c r="B244" s="45"/>
      <c r="C244" s="46"/>
      <c r="D244" s="47"/>
      <c r="E244" s="46">
        <f t="shared" si="10"/>
        <v>0</v>
      </c>
      <c r="F244" s="45"/>
      <c r="G244" s="48"/>
      <c r="H244" s="45"/>
      <c r="I244" s="45"/>
      <c r="J244" s="49"/>
      <c r="K244" s="45"/>
      <c r="L244" s="45"/>
      <c r="M244" s="49"/>
      <c r="N244" s="45"/>
      <c r="O244" s="45"/>
    </row>
    <row r="245" spans="1:15">
      <c r="A245" s="50"/>
      <c r="B245" s="50"/>
      <c r="C245" s="51"/>
      <c r="D245" s="52"/>
      <c r="E245" s="46">
        <f t="shared" si="10"/>
        <v>0</v>
      </c>
      <c r="F245" s="50"/>
      <c r="G245" s="53"/>
      <c r="H245" s="50"/>
      <c r="I245" s="50"/>
      <c r="J245" s="54"/>
      <c r="K245" s="50"/>
      <c r="L245" s="50"/>
      <c r="M245" s="54"/>
      <c r="N245" s="50"/>
      <c r="O245" s="50"/>
    </row>
    <row r="246" spans="1:15">
      <c r="A246" s="45"/>
      <c r="B246" s="45"/>
      <c r="C246" s="46"/>
      <c r="D246" s="47"/>
      <c r="E246" s="46">
        <f t="shared" si="10"/>
        <v>0</v>
      </c>
      <c r="F246" s="45"/>
      <c r="G246" s="48"/>
      <c r="H246" s="45"/>
      <c r="I246" s="45"/>
      <c r="J246" s="49"/>
      <c r="K246" s="45"/>
      <c r="L246" s="45"/>
      <c r="M246" s="49"/>
      <c r="N246" s="45"/>
      <c r="O246" s="45"/>
    </row>
    <row r="247" spans="1:15">
      <c r="A247" s="50"/>
      <c r="B247" s="50"/>
      <c r="C247" s="51"/>
      <c r="D247" s="52"/>
      <c r="E247" s="46">
        <f t="shared" ref="E247:E277" si="11">D247*C247</f>
        <v>0</v>
      </c>
      <c r="F247" s="50"/>
      <c r="G247" s="53"/>
      <c r="H247" s="50"/>
      <c r="I247" s="50"/>
      <c r="J247" s="54"/>
      <c r="K247" s="50"/>
      <c r="L247" s="50"/>
      <c r="M247" s="54"/>
      <c r="N247" s="50"/>
      <c r="O247" s="50"/>
    </row>
    <row r="248" spans="1:15">
      <c r="A248" s="45"/>
      <c r="B248" s="45"/>
      <c r="C248" s="46"/>
      <c r="D248" s="47"/>
      <c r="E248" s="46">
        <f t="shared" si="11"/>
        <v>0</v>
      </c>
      <c r="F248" s="45"/>
      <c r="G248" s="48"/>
      <c r="H248" s="45"/>
      <c r="I248" s="45"/>
      <c r="J248" s="49"/>
      <c r="K248" s="45"/>
      <c r="L248" s="45"/>
      <c r="M248" s="49"/>
      <c r="N248" s="45"/>
      <c r="O248" s="45"/>
    </row>
    <row r="249" spans="1:15">
      <c r="A249" s="50"/>
      <c r="B249" s="50"/>
      <c r="C249" s="51"/>
      <c r="D249" s="52"/>
      <c r="E249" s="46">
        <f t="shared" si="11"/>
        <v>0</v>
      </c>
      <c r="F249" s="50"/>
      <c r="G249" s="53"/>
      <c r="H249" s="50"/>
      <c r="I249" s="50"/>
      <c r="J249" s="54"/>
      <c r="K249" s="50"/>
      <c r="L249" s="50"/>
      <c r="M249" s="54"/>
      <c r="N249" s="50"/>
      <c r="O249" s="50"/>
    </row>
    <row r="250" spans="1:15">
      <c r="A250" s="45"/>
      <c r="B250" s="45"/>
      <c r="C250" s="46"/>
      <c r="D250" s="47"/>
      <c r="E250" s="46">
        <f t="shared" si="11"/>
        <v>0</v>
      </c>
      <c r="F250" s="45"/>
      <c r="G250" s="48"/>
      <c r="H250" s="45"/>
      <c r="I250" s="45"/>
      <c r="J250" s="49"/>
      <c r="K250" s="45"/>
      <c r="L250" s="45"/>
      <c r="M250" s="49"/>
      <c r="N250" s="45"/>
      <c r="O250" s="45"/>
    </row>
    <row r="251" spans="1:15">
      <c r="A251" s="50"/>
      <c r="B251" s="50"/>
      <c r="C251" s="51"/>
      <c r="D251" s="52"/>
      <c r="E251" s="46">
        <f t="shared" si="11"/>
        <v>0</v>
      </c>
      <c r="F251" s="50"/>
      <c r="G251" s="53"/>
      <c r="H251" s="50"/>
      <c r="I251" s="50"/>
      <c r="J251" s="54"/>
      <c r="K251" s="50"/>
      <c r="L251" s="50"/>
      <c r="M251" s="54"/>
      <c r="N251" s="50"/>
      <c r="O251" s="50"/>
    </row>
    <row r="252" spans="1:15">
      <c r="A252" s="45"/>
      <c r="B252" s="45"/>
      <c r="C252" s="46"/>
      <c r="D252" s="47"/>
      <c r="E252" s="46">
        <f t="shared" si="11"/>
        <v>0</v>
      </c>
      <c r="F252" s="45"/>
      <c r="G252" s="48"/>
      <c r="H252" s="45"/>
      <c r="I252" s="45"/>
      <c r="J252" s="49"/>
      <c r="K252" s="45"/>
      <c r="L252" s="45"/>
      <c r="M252" s="49"/>
      <c r="N252" s="45"/>
      <c r="O252" s="45"/>
    </row>
    <row r="253" spans="1:15">
      <c r="A253" s="50"/>
      <c r="B253" s="50"/>
      <c r="C253" s="51"/>
      <c r="D253" s="52"/>
      <c r="E253" s="46">
        <f t="shared" si="11"/>
        <v>0</v>
      </c>
      <c r="F253" s="50"/>
      <c r="G253" s="53"/>
      <c r="H253" s="50"/>
      <c r="I253" s="50"/>
      <c r="J253" s="54"/>
      <c r="K253" s="50"/>
      <c r="L253" s="50"/>
      <c r="M253" s="54"/>
      <c r="N253" s="50"/>
      <c r="O253" s="50"/>
    </row>
    <row r="254" spans="1:15">
      <c r="A254" s="45"/>
      <c r="B254" s="45"/>
      <c r="C254" s="46"/>
      <c r="D254" s="47"/>
      <c r="E254" s="46">
        <f t="shared" si="11"/>
        <v>0</v>
      </c>
      <c r="F254" s="45"/>
      <c r="G254" s="48"/>
      <c r="H254" s="45"/>
      <c r="I254" s="45"/>
      <c r="J254" s="49"/>
      <c r="K254" s="45"/>
      <c r="L254" s="45"/>
      <c r="M254" s="49"/>
      <c r="N254" s="45"/>
      <c r="O254" s="45"/>
    </row>
    <row r="255" spans="1:15">
      <c r="A255" s="50"/>
      <c r="B255" s="50"/>
      <c r="C255" s="51"/>
      <c r="D255" s="52"/>
      <c r="E255" s="46">
        <f t="shared" si="11"/>
        <v>0</v>
      </c>
      <c r="F255" s="50"/>
      <c r="G255" s="53"/>
      <c r="H255" s="50"/>
      <c r="I255" s="50"/>
      <c r="J255" s="54"/>
      <c r="K255" s="50"/>
      <c r="L255" s="50"/>
      <c r="M255" s="54"/>
      <c r="N255" s="50"/>
      <c r="O255" s="50"/>
    </row>
    <row r="256" spans="1:15">
      <c r="A256" s="45"/>
      <c r="B256" s="45"/>
      <c r="C256" s="46"/>
      <c r="D256" s="47"/>
      <c r="E256" s="46">
        <f t="shared" si="11"/>
        <v>0</v>
      </c>
      <c r="F256" s="45"/>
      <c r="G256" s="48"/>
      <c r="H256" s="45"/>
      <c r="I256" s="45"/>
      <c r="J256" s="49"/>
      <c r="K256" s="45"/>
      <c r="L256" s="45"/>
      <c r="M256" s="49"/>
      <c r="N256" s="45"/>
      <c r="O256" s="45"/>
    </row>
    <row r="257" spans="1:15">
      <c r="A257" s="50"/>
      <c r="B257" s="50"/>
      <c r="C257" s="51"/>
      <c r="D257" s="52"/>
      <c r="E257" s="46">
        <f t="shared" si="11"/>
        <v>0</v>
      </c>
      <c r="F257" s="50"/>
      <c r="G257" s="53"/>
      <c r="H257" s="50"/>
      <c r="I257" s="50"/>
      <c r="J257" s="54"/>
      <c r="K257" s="50"/>
      <c r="L257" s="50"/>
      <c r="M257" s="54"/>
      <c r="N257" s="50"/>
      <c r="O257" s="50"/>
    </row>
    <row r="258" spans="1:15">
      <c r="A258" s="45"/>
      <c r="B258" s="45"/>
      <c r="C258" s="46"/>
      <c r="D258" s="47"/>
      <c r="E258" s="46">
        <f t="shared" si="11"/>
        <v>0</v>
      </c>
      <c r="F258" s="45"/>
      <c r="G258" s="48"/>
      <c r="H258" s="45"/>
      <c r="I258" s="45"/>
      <c r="J258" s="49"/>
      <c r="K258" s="45"/>
      <c r="L258" s="45"/>
      <c r="M258" s="49"/>
      <c r="N258" s="45"/>
      <c r="O258" s="45"/>
    </row>
    <row r="259" spans="1:15">
      <c r="A259" s="50"/>
      <c r="B259" s="50"/>
      <c r="C259" s="51"/>
      <c r="D259" s="52"/>
      <c r="E259" s="46">
        <f t="shared" si="11"/>
        <v>0</v>
      </c>
      <c r="F259" s="50"/>
      <c r="G259" s="53"/>
      <c r="H259" s="50"/>
      <c r="I259" s="50"/>
      <c r="J259" s="54"/>
      <c r="K259" s="50"/>
      <c r="L259" s="50"/>
      <c r="M259" s="54"/>
      <c r="N259" s="50"/>
      <c r="O259" s="50"/>
    </row>
    <row r="260" spans="1:15">
      <c r="A260" s="45"/>
      <c r="B260" s="45"/>
      <c r="C260" s="46"/>
      <c r="D260" s="47"/>
      <c r="E260" s="46">
        <f t="shared" si="11"/>
        <v>0</v>
      </c>
      <c r="F260" s="45"/>
      <c r="G260" s="48"/>
      <c r="H260" s="45"/>
      <c r="I260" s="45"/>
      <c r="J260" s="49"/>
      <c r="K260" s="45"/>
      <c r="L260" s="45"/>
      <c r="M260" s="49"/>
      <c r="N260" s="45"/>
      <c r="O260" s="45"/>
    </row>
    <row r="261" spans="1:15">
      <c r="A261" s="50"/>
      <c r="B261" s="50"/>
      <c r="C261" s="51"/>
      <c r="D261" s="52"/>
      <c r="E261" s="46">
        <f t="shared" si="11"/>
        <v>0</v>
      </c>
      <c r="F261" s="50"/>
      <c r="G261" s="53"/>
      <c r="H261" s="50"/>
      <c r="I261" s="50"/>
      <c r="J261" s="54"/>
      <c r="K261" s="50"/>
      <c r="L261" s="50"/>
      <c r="M261" s="54"/>
      <c r="N261" s="50"/>
      <c r="O261" s="50"/>
    </row>
    <row r="262" spans="1:15">
      <c r="A262" s="45"/>
      <c r="B262" s="45"/>
      <c r="C262" s="46"/>
      <c r="D262" s="47"/>
      <c r="E262" s="46">
        <f t="shared" si="11"/>
        <v>0</v>
      </c>
      <c r="F262" s="45"/>
      <c r="G262" s="48"/>
      <c r="H262" s="45"/>
      <c r="I262" s="45"/>
      <c r="J262" s="49"/>
      <c r="K262" s="45"/>
      <c r="L262" s="45"/>
      <c r="M262" s="49"/>
      <c r="N262" s="45"/>
      <c r="O262" s="45"/>
    </row>
    <row r="263" spans="1:15">
      <c r="A263" s="50"/>
      <c r="B263" s="50"/>
      <c r="C263" s="51"/>
      <c r="D263" s="52"/>
      <c r="E263" s="46">
        <f t="shared" si="11"/>
        <v>0</v>
      </c>
      <c r="F263" s="50"/>
      <c r="G263" s="53"/>
      <c r="H263" s="50"/>
      <c r="I263" s="50"/>
      <c r="J263" s="54"/>
      <c r="K263" s="50"/>
      <c r="L263" s="50"/>
      <c r="M263" s="54"/>
      <c r="N263" s="50"/>
      <c r="O263" s="50"/>
    </row>
    <row r="264" spans="1:15">
      <c r="A264" s="45"/>
      <c r="B264" s="45"/>
      <c r="C264" s="46"/>
      <c r="D264" s="47"/>
      <c r="E264" s="46">
        <f t="shared" si="11"/>
        <v>0</v>
      </c>
      <c r="F264" s="45"/>
      <c r="G264" s="48"/>
      <c r="H264" s="45"/>
      <c r="I264" s="45"/>
      <c r="J264" s="49"/>
      <c r="K264" s="45"/>
      <c r="L264" s="45"/>
      <c r="M264" s="49"/>
      <c r="N264" s="45"/>
      <c r="O264" s="45"/>
    </row>
    <row r="265" spans="1:15">
      <c r="A265" s="50"/>
      <c r="B265" s="50"/>
      <c r="C265" s="51"/>
      <c r="D265" s="52"/>
      <c r="E265" s="46">
        <f t="shared" si="11"/>
        <v>0</v>
      </c>
      <c r="F265" s="50"/>
      <c r="G265" s="53"/>
      <c r="H265" s="50"/>
      <c r="I265" s="50"/>
      <c r="J265" s="54"/>
      <c r="K265" s="50"/>
      <c r="L265" s="50"/>
      <c r="M265" s="54"/>
      <c r="N265" s="50"/>
      <c r="O265" s="50"/>
    </row>
    <row r="266" spans="1:15">
      <c r="A266" s="45"/>
      <c r="B266" s="45"/>
      <c r="C266" s="46"/>
      <c r="D266" s="47"/>
      <c r="E266" s="46">
        <f t="shared" si="11"/>
        <v>0</v>
      </c>
      <c r="F266" s="45"/>
      <c r="G266" s="48"/>
      <c r="H266" s="45"/>
      <c r="I266" s="45"/>
      <c r="J266" s="49"/>
      <c r="K266" s="45"/>
      <c r="L266" s="45"/>
      <c r="M266" s="49"/>
      <c r="N266" s="45"/>
      <c r="O266" s="45"/>
    </row>
    <row r="267" spans="1:15">
      <c r="A267" s="50"/>
      <c r="B267" s="50"/>
      <c r="C267" s="51"/>
      <c r="D267" s="52"/>
      <c r="E267" s="46">
        <f t="shared" si="11"/>
        <v>0</v>
      </c>
      <c r="F267" s="50"/>
      <c r="G267" s="53"/>
      <c r="H267" s="50"/>
      <c r="I267" s="50"/>
      <c r="J267" s="54"/>
      <c r="K267" s="50"/>
      <c r="L267" s="50"/>
      <c r="M267" s="54"/>
      <c r="N267" s="50"/>
      <c r="O267" s="50"/>
    </row>
    <row r="268" spans="1:15">
      <c r="A268" s="45"/>
      <c r="B268" s="45"/>
      <c r="C268" s="46"/>
      <c r="D268" s="47"/>
      <c r="E268" s="46">
        <f t="shared" si="11"/>
        <v>0</v>
      </c>
      <c r="F268" s="45"/>
      <c r="G268" s="48"/>
      <c r="H268" s="45"/>
      <c r="I268" s="45"/>
      <c r="J268" s="49"/>
      <c r="K268" s="45"/>
      <c r="L268" s="45"/>
      <c r="M268" s="49"/>
      <c r="N268" s="45"/>
      <c r="O268" s="45"/>
    </row>
    <row r="269" spans="1:15">
      <c r="A269" s="50"/>
      <c r="B269" s="50"/>
      <c r="C269" s="51"/>
      <c r="D269" s="52"/>
      <c r="E269" s="46">
        <f t="shared" si="11"/>
        <v>0</v>
      </c>
      <c r="F269" s="50"/>
      <c r="G269" s="53"/>
      <c r="H269" s="50"/>
      <c r="I269" s="50"/>
      <c r="J269" s="54"/>
      <c r="K269" s="50"/>
      <c r="L269" s="50"/>
      <c r="M269" s="54"/>
      <c r="N269" s="50"/>
      <c r="O269" s="50"/>
    </row>
    <row r="270" spans="1:15">
      <c r="A270" s="45"/>
      <c r="B270" s="45"/>
      <c r="C270" s="46"/>
      <c r="D270" s="47"/>
      <c r="E270" s="46">
        <f t="shared" si="11"/>
        <v>0</v>
      </c>
      <c r="F270" s="45"/>
      <c r="G270" s="48"/>
      <c r="H270" s="45"/>
      <c r="I270" s="45"/>
      <c r="J270" s="49"/>
      <c r="K270" s="45"/>
      <c r="L270" s="45"/>
      <c r="M270" s="49"/>
      <c r="N270" s="45"/>
      <c r="O270" s="45"/>
    </row>
    <row r="271" spans="1:15">
      <c r="A271" s="50"/>
      <c r="B271" s="50"/>
      <c r="C271" s="51"/>
      <c r="D271" s="52"/>
      <c r="E271" s="46">
        <f t="shared" si="11"/>
        <v>0</v>
      </c>
      <c r="F271" s="50"/>
      <c r="G271" s="53"/>
      <c r="H271" s="50"/>
      <c r="I271" s="50"/>
      <c r="J271" s="54"/>
      <c r="K271" s="50"/>
      <c r="L271" s="50"/>
      <c r="M271" s="54"/>
      <c r="N271" s="50"/>
      <c r="O271" s="50"/>
    </row>
    <row r="272" spans="1:15">
      <c r="A272" s="45"/>
      <c r="B272" s="45"/>
      <c r="C272" s="46"/>
      <c r="D272" s="47"/>
      <c r="E272" s="46">
        <f t="shared" si="11"/>
        <v>0</v>
      </c>
      <c r="F272" s="45"/>
      <c r="G272" s="48"/>
      <c r="H272" s="45"/>
      <c r="I272" s="45"/>
      <c r="J272" s="49"/>
      <c r="K272" s="45"/>
      <c r="L272" s="45"/>
      <c r="M272" s="49"/>
      <c r="N272" s="45"/>
      <c r="O272" s="45"/>
    </row>
    <row r="273" spans="1:15">
      <c r="A273" s="50"/>
      <c r="B273" s="50"/>
      <c r="C273" s="51"/>
      <c r="D273" s="52"/>
      <c r="E273" s="46">
        <f t="shared" si="11"/>
        <v>0</v>
      </c>
      <c r="F273" s="50"/>
      <c r="G273" s="53"/>
      <c r="H273" s="50"/>
      <c r="I273" s="50"/>
      <c r="J273" s="54"/>
      <c r="K273" s="50"/>
      <c r="L273" s="50"/>
      <c r="M273" s="54"/>
      <c r="N273" s="50"/>
      <c r="O273" s="50"/>
    </row>
    <row r="274" spans="1:15">
      <c r="A274" s="45"/>
      <c r="B274" s="45"/>
      <c r="C274" s="46"/>
      <c r="D274" s="47"/>
      <c r="E274" s="46">
        <f t="shared" si="11"/>
        <v>0</v>
      </c>
      <c r="F274" s="45"/>
      <c r="G274" s="48"/>
      <c r="H274" s="45"/>
      <c r="I274" s="45"/>
      <c r="J274" s="49"/>
      <c r="K274" s="45"/>
      <c r="L274" s="45"/>
      <c r="M274" s="49"/>
      <c r="N274" s="45"/>
      <c r="O274" s="45"/>
    </row>
    <row r="275" spans="1:15">
      <c r="A275" s="50"/>
      <c r="B275" s="50"/>
      <c r="C275" s="51"/>
      <c r="D275" s="52"/>
      <c r="E275" s="46">
        <f t="shared" si="11"/>
        <v>0</v>
      </c>
      <c r="F275" s="50"/>
      <c r="G275" s="53"/>
      <c r="H275" s="50"/>
      <c r="I275" s="50"/>
      <c r="J275" s="54"/>
      <c r="K275" s="50"/>
      <c r="L275" s="50"/>
      <c r="M275" s="54"/>
      <c r="N275" s="50"/>
      <c r="O275" s="50"/>
    </row>
    <row r="276" spans="1:15">
      <c r="A276" s="45"/>
      <c r="B276" s="45"/>
      <c r="C276" s="46"/>
      <c r="D276" s="47"/>
      <c r="E276" s="46">
        <f t="shared" si="11"/>
        <v>0</v>
      </c>
      <c r="F276" s="45"/>
      <c r="G276" s="48"/>
      <c r="H276" s="45"/>
      <c r="I276" s="45"/>
      <c r="J276" s="49"/>
      <c r="K276" s="45"/>
      <c r="L276" s="45"/>
      <c r="M276" s="49"/>
      <c r="N276" s="45"/>
      <c r="O276" s="45"/>
    </row>
    <row r="277" spans="1:15">
      <c r="A277" s="50"/>
      <c r="B277" s="50"/>
      <c r="C277" s="51"/>
      <c r="D277" s="52"/>
      <c r="E277" s="46">
        <f t="shared" si="11"/>
        <v>0</v>
      </c>
      <c r="F277" s="50"/>
      <c r="G277" s="53"/>
      <c r="H277" s="50"/>
      <c r="I277" s="50"/>
      <c r="J277" s="54"/>
      <c r="K277" s="50"/>
      <c r="L277" s="50"/>
      <c r="M277" s="54"/>
      <c r="N277" s="50"/>
      <c r="O277" s="50"/>
    </row>
    <row r="278" spans="1:15">
      <c r="A278" s="117"/>
      <c r="B278" s="117"/>
      <c r="C278" s="117"/>
      <c r="D278" s="117"/>
      <c r="E278" s="63" t="str">
        <f t="shared" ref="E278:E309" si="12">IF(OR(C278="",D278=""),"",C278*D278)</f>
        <v/>
      </c>
      <c r="F278" s="117"/>
      <c r="G278" s="117"/>
      <c r="H278" s="117"/>
      <c r="I278" s="117"/>
      <c r="J278" s="117"/>
      <c r="K278" s="117"/>
      <c r="L278" s="117"/>
      <c r="M278" s="117"/>
      <c r="N278" s="117"/>
      <c r="O278" s="117"/>
    </row>
    <row r="279" spans="1:15">
      <c r="A279" s="117"/>
      <c r="B279" s="117"/>
      <c r="C279" s="117"/>
      <c r="D279" s="117"/>
      <c r="E279" s="63" t="str">
        <f t="shared" si="12"/>
        <v/>
      </c>
      <c r="F279" s="117"/>
      <c r="G279" s="117"/>
      <c r="H279" s="117"/>
      <c r="I279" s="117"/>
      <c r="J279" s="117"/>
      <c r="K279" s="117"/>
      <c r="L279" s="117"/>
      <c r="M279" s="117"/>
      <c r="N279" s="117"/>
      <c r="O279" s="117"/>
    </row>
    <row r="280" spans="1:15">
      <c r="A280" s="117"/>
      <c r="B280" s="117"/>
      <c r="C280" s="117"/>
      <c r="D280" s="117"/>
      <c r="E280" s="63" t="str">
        <f t="shared" si="12"/>
        <v/>
      </c>
      <c r="F280" s="117"/>
      <c r="G280" s="117"/>
      <c r="H280" s="117"/>
      <c r="I280" s="117"/>
      <c r="J280" s="117"/>
      <c r="K280" s="117"/>
      <c r="L280" s="117"/>
      <c r="M280" s="117"/>
      <c r="N280" s="117"/>
      <c r="O280" s="117"/>
    </row>
    <row r="281" spans="1:15">
      <c r="A281" s="117"/>
      <c r="B281" s="117"/>
      <c r="C281" s="117"/>
      <c r="D281" s="117"/>
      <c r="E281" s="63" t="str">
        <f t="shared" si="12"/>
        <v/>
      </c>
      <c r="F281" s="117"/>
      <c r="G281" s="117"/>
      <c r="H281" s="117"/>
      <c r="I281" s="117"/>
      <c r="J281" s="117"/>
      <c r="K281" s="117"/>
      <c r="L281" s="117"/>
      <c r="M281" s="117"/>
      <c r="N281" s="117"/>
      <c r="O281" s="117"/>
    </row>
    <row r="282" spans="1:15">
      <c r="A282" s="117"/>
      <c r="B282" s="117"/>
      <c r="C282" s="117"/>
      <c r="D282" s="117"/>
      <c r="E282" s="63" t="str">
        <f t="shared" si="12"/>
        <v/>
      </c>
      <c r="F282" s="117"/>
      <c r="G282" s="117"/>
      <c r="H282" s="117"/>
      <c r="I282" s="117"/>
      <c r="J282" s="117"/>
      <c r="K282" s="117"/>
      <c r="L282" s="117"/>
      <c r="M282" s="117"/>
      <c r="N282" s="117"/>
      <c r="O282" s="117"/>
    </row>
    <row r="283" spans="1:15">
      <c r="A283" s="117"/>
      <c r="B283" s="117"/>
      <c r="C283" s="117"/>
      <c r="D283" s="117"/>
      <c r="E283" s="63" t="str">
        <f t="shared" si="12"/>
        <v/>
      </c>
      <c r="F283" s="117"/>
      <c r="G283" s="117"/>
      <c r="H283" s="117"/>
      <c r="I283" s="117"/>
      <c r="J283" s="117"/>
      <c r="K283" s="117"/>
      <c r="L283" s="117"/>
      <c r="M283" s="117"/>
      <c r="N283" s="117"/>
      <c r="O283" s="117"/>
    </row>
    <row r="284" spans="1:15">
      <c r="A284" s="117"/>
      <c r="B284" s="117"/>
      <c r="C284" s="117"/>
      <c r="D284" s="117"/>
      <c r="E284" s="63" t="str">
        <f t="shared" si="12"/>
        <v/>
      </c>
      <c r="F284" s="117"/>
      <c r="G284" s="117"/>
      <c r="H284" s="117"/>
      <c r="I284" s="117"/>
      <c r="J284" s="117"/>
      <c r="K284" s="117"/>
      <c r="L284" s="117"/>
      <c r="M284" s="117"/>
      <c r="N284" s="117"/>
      <c r="O284" s="117"/>
    </row>
    <row r="285" spans="1:15">
      <c r="A285" s="117"/>
      <c r="B285" s="117"/>
      <c r="C285" s="117"/>
      <c r="D285" s="117"/>
      <c r="E285" s="63" t="str">
        <f t="shared" si="12"/>
        <v/>
      </c>
      <c r="F285" s="117"/>
      <c r="G285" s="117"/>
      <c r="H285" s="117"/>
      <c r="I285" s="117"/>
      <c r="J285" s="117"/>
      <c r="K285" s="117"/>
      <c r="L285" s="117"/>
      <c r="M285" s="117"/>
      <c r="N285" s="117"/>
      <c r="O285" s="117"/>
    </row>
    <row r="286" spans="1:15">
      <c r="A286" s="117"/>
      <c r="B286" s="117"/>
      <c r="C286" s="117"/>
      <c r="D286" s="117"/>
      <c r="E286" s="63" t="str">
        <f t="shared" si="12"/>
        <v/>
      </c>
      <c r="F286" s="117"/>
      <c r="G286" s="117"/>
      <c r="H286" s="117"/>
      <c r="I286" s="117"/>
      <c r="J286" s="117"/>
      <c r="K286" s="117"/>
      <c r="L286" s="117"/>
      <c r="M286" s="117"/>
      <c r="N286" s="117"/>
      <c r="O286" s="117"/>
    </row>
    <row r="287" spans="1:15">
      <c r="A287" s="117"/>
      <c r="B287" s="117"/>
      <c r="C287" s="117"/>
      <c r="D287" s="117"/>
      <c r="E287" s="63" t="str">
        <f t="shared" si="12"/>
        <v/>
      </c>
      <c r="F287" s="117"/>
      <c r="G287" s="117"/>
      <c r="H287" s="117"/>
      <c r="I287" s="117"/>
      <c r="J287" s="117"/>
      <c r="K287" s="117"/>
      <c r="L287" s="117"/>
      <c r="M287" s="117"/>
      <c r="N287" s="117"/>
      <c r="O287" s="117"/>
    </row>
    <row r="288" spans="1:15">
      <c r="A288" s="117"/>
      <c r="B288" s="117"/>
      <c r="C288" s="117"/>
      <c r="D288" s="117"/>
      <c r="E288" s="63" t="str">
        <f t="shared" si="12"/>
        <v/>
      </c>
      <c r="F288" s="117"/>
      <c r="G288" s="117"/>
      <c r="H288" s="117"/>
      <c r="I288" s="117"/>
      <c r="J288" s="117"/>
      <c r="K288" s="117"/>
      <c r="L288" s="117"/>
      <c r="M288" s="117"/>
      <c r="N288" s="117"/>
      <c r="O288" s="117"/>
    </row>
    <row r="289" spans="1:15">
      <c r="A289" s="117"/>
      <c r="B289" s="117"/>
      <c r="C289" s="117"/>
      <c r="D289" s="117"/>
      <c r="E289" s="63" t="str">
        <f t="shared" si="12"/>
        <v/>
      </c>
      <c r="F289" s="117"/>
      <c r="G289" s="117"/>
      <c r="H289" s="117"/>
      <c r="I289" s="117"/>
      <c r="J289" s="117"/>
      <c r="K289" s="117"/>
      <c r="L289" s="117"/>
      <c r="M289" s="117"/>
      <c r="N289" s="117"/>
      <c r="O289" s="117"/>
    </row>
    <row r="290" spans="1:15">
      <c r="A290" s="117"/>
      <c r="B290" s="117"/>
      <c r="C290" s="117"/>
      <c r="D290" s="117"/>
      <c r="E290" s="63" t="str">
        <f t="shared" si="12"/>
        <v/>
      </c>
      <c r="F290" s="117"/>
      <c r="G290" s="117"/>
      <c r="H290" s="117"/>
      <c r="I290" s="117"/>
      <c r="J290" s="117"/>
      <c r="K290" s="117"/>
      <c r="L290" s="117"/>
      <c r="M290" s="117"/>
      <c r="N290" s="117"/>
      <c r="O290" s="117"/>
    </row>
    <row r="291" spans="1:15">
      <c r="A291" s="117"/>
      <c r="B291" s="117"/>
      <c r="C291" s="117"/>
      <c r="D291" s="117"/>
      <c r="E291" s="63" t="str">
        <f t="shared" si="12"/>
        <v/>
      </c>
      <c r="F291" s="117"/>
      <c r="G291" s="117"/>
      <c r="H291" s="117"/>
      <c r="I291" s="117"/>
      <c r="J291" s="117"/>
      <c r="K291" s="117"/>
      <c r="L291" s="117"/>
      <c r="M291" s="117"/>
      <c r="N291" s="117"/>
      <c r="O291" s="117"/>
    </row>
    <row r="292" spans="1:15">
      <c r="A292" s="117"/>
      <c r="B292" s="117"/>
      <c r="C292" s="117"/>
      <c r="D292" s="117"/>
      <c r="E292" s="63" t="str">
        <f t="shared" si="12"/>
        <v/>
      </c>
      <c r="F292" s="117"/>
      <c r="G292" s="117"/>
      <c r="H292" s="117"/>
      <c r="I292" s="117"/>
      <c r="J292" s="117"/>
      <c r="K292" s="117"/>
      <c r="L292" s="117"/>
      <c r="M292" s="117"/>
      <c r="N292" s="117"/>
      <c r="O292" s="117"/>
    </row>
    <row r="293" spans="1:15">
      <c r="A293" s="117"/>
      <c r="B293" s="117"/>
      <c r="C293" s="117"/>
      <c r="D293" s="117"/>
      <c r="E293" s="63" t="str">
        <f t="shared" si="12"/>
        <v/>
      </c>
      <c r="F293" s="117"/>
      <c r="G293" s="117"/>
      <c r="H293" s="117"/>
      <c r="I293" s="117"/>
      <c r="J293" s="117"/>
      <c r="K293" s="117"/>
      <c r="L293" s="117"/>
      <c r="M293" s="117"/>
      <c r="N293" s="117"/>
      <c r="O293" s="117"/>
    </row>
    <row r="294" spans="1:15">
      <c r="A294" s="117"/>
      <c r="B294" s="117"/>
      <c r="C294" s="117"/>
      <c r="D294" s="117"/>
      <c r="E294" s="63" t="str">
        <f t="shared" si="12"/>
        <v/>
      </c>
      <c r="F294" s="117"/>
      <c r="G294" s="117"/>
      <c r="H294" s="117"/>
      <c r="I294" s="117"/>
      <c r="J294" s="117"/>
      <c r="K294" s="117"/>
      <c r="L294" s="117"/>
      <c r="M294" s="117"/>
      <c r="N294" s="117"/>
      <c r="O294" s="117"/>
    </row>
    <row r="295" spans="1:15">
      <c r="A295" s="117"/>
      <c r="B295" s="117"/>
      <c r="C295" s="117"/>
      <c r="D295" s="117"/>
      <c r="E295" s="63" t="str">
        <f t="shared" si="12"/>
        <v/>
      </c>
      <c r="F295" s="117"/>
      <c r="G295" s="117"/>
      <c r="H295" s="117"/>
      <c r="I295" s="117"/>
      <c r="J295" s="117"/>
      <c r="K295" s="117"/>
      <c r="L295" s="117"/>
      <c r="M295" s="117"/>
      <c r="N295" s="117"/>
      <c r="O295" s="117"/>
    </row>
    <row r="296" spans="1:15">
      <c r="A296" s="117"/>
      <c r="B296" s="117"/>
      <c r="C296" s="117"/>
      <c r="D296" s="117"/>
      <c r="E296" s="63" t="str">
        <f t="shared" si="12"/>
        <v/>
      </c>
      <c r="F296" s="117"/>
      <c r="G296" s="117"/>
      <c r="H296" s="117"/>
      <c r="I296" s="117"/>
      <c r="J296" s="117"/>
      <c r="K296" s="117"/>
      <c r="L296" s="117"/>
      <c r="M296" s="117"/>
      <c r="N296" s="117"/>
      <c r="O296" s="117"/>
    </row>
    <row r="297" spans="1:15">
      <c r="A297" s="117"/>
      <c r="B297" s="117"/>
      <c r="C297" s="117"/>
      <c r="D297" s="117"/>
      <c r="E297" s="63" t="str">
        <f t="shared" si="12"/>
        <v/>
      </c>
      <c r="F297" s="117"/>
      <c r="G297" s="117"/>
      <c r="H297" s="117"/>
      <c r="I297" s="117"/>
      <c r="J297" s="117"/>
      <c r="K297" s="117"/>
      <c r="L297" s="117"/>
      <c r="M297" s="117"/>
      <c r="N297" s="117"/>
      <c r="O297" s="117"/>
    </row>
    <row r="298" spans="1:15">
      <c r="A298" s="117"/>
      <c r="B298" s="117"/>
      <c r="C298" s="117"/>
      <c r="D298" s="117"/>
      <c r="E298" s="63" t="str">
        <f t="shared" si="12"/>
        <v/>
      </c>
      <c r="F298" s="117"/>
      <c r="G298" s="117"/>
      <c r="H298" s="117"/>
      <c r="I298" s="117"/>
      <c r="J298" s="117"/>
      <c r="K298" s="117"/>
      <c r="L298" s="117"/>
      <c r="M298" s="117"/>
      <c r="N298" s="117"/>
      <c r="O298" s="117"/>
    </row>
    <row r="299" spans="1:15">
      <c r="A299" s="117"/>
      <c r="B299" s="117"/>
      <c r="C299" s="117"/>
      <c r="D299" s="117"/>
      <c r="E299" s="63" t="str">
        <f t="shared" si="12"/>
        <v/>
      </c>
      <c r="F299" s="117"/>
      <c r="G299" s="117"/>
      <c r="H299" s="117"/>
      <c r="I299" s="117"/>
      <c r="J299" s="117"/>
      <c r="K299" s="117"/>
      <c r="L299" s="117"/>
      <c r="M299" s="117"/>
      <c r="N299" s="117"/>
      <c r="O299" s="117"/>
    </row>
    <row r="300" spans="1:15">
      <c r="A300" s="117"/>
      <c r="B300" s="117"/>
      <c r="C300" s="117"/>
      <c r="D300" s="117"/>
      <c r="E300" s="63" t="str">
        <f t="shared" si="12"/>
        <v/>
      </c>
      <c r="F300" s="117"/>
      <c r="G300" s="117"/>
      <c r="H300" s="117"/>
      <c r="I300" s="117"/>
      <c r="J300" s="117"/>
      <c r="K300" s="117"/>
      <c r="L300" s="117"/>
      <c r="M300" s="117"/>
      <c r="N300" s="117"/>
      <c r="O300" s="117"/>
    </row>
    <row r="301" spans="1:15">
      <c r="A301" s="117"/>
      <c r="B301" s="117"/>
      <c r="C301" s="117"/>
      <c r="D301" s="117"/>
      <c r="E301" s="63" t="str">
        <f t="shared" si="12"/>
        <v/>
      </c>
      <c r="F301" s="117"/>
      <c r="G301" s="117"/>
      <c r="H301" s="117"/>
      <c r="I301" s="117"/>
      <c r="J301" s="117"/>
      <c r="K301" s="117"/>
      <c r="L301" s="117"/>
      <c r="M301" s="117"/>
      <c r="N301" s="117"/>
      <c r="O301" s="117"/>
    </row>
    <row r="302" spans="1:15">
      <c r="A302" s="117"/>
      <c r="B302" s="117"/>
      <c r="C302" s="117"/>
      <c r="D302" s="117"/>
      <c r="E302" s="63" t="str">
        <f t="shared" si="12"/>
        <v/>
      </c>
      <c r="F302" s="117"/>
      <c r="G302" s="117"/>
      <c r="H302" s="117"/>
      <c r="I302" s="117"/>
      <c r="J302" s="117"/>
      <c r="K302" s="117"/>
      <c r="L302" s="117"/>
      <c r="M302" s="117"/>
      <c r="N302" s="117"/>
      <c r="O302" s="117"/>
    </row>
    <row r="303" spans="1:15">
      <c r="A303" s="117"/>
      <c r="B303" s="117"/>
      <c r="C303" s="117"/>
      <c r="D303" s="117"/>
      <c r="E303" s="63" t="str">
        <f t="shared" si="12"/>
        <v/>
      </c>
      <c r="F303" s="117"/>
      <c r="G303" s="117"/>
      <c r="H303" s="117"/>
      <c r="I303" s="117"/>
      <c r="J303" s="117"/>
      <c r="K303" s="117"/>
      <c r="L303" s="117"/>
      <c r="M303" s="117"/>
      <c r="N303" s="117"/>
      <c r="O303" s="117"/>
    </row>
    <row r="304" spans="1:15">
      <c r="A304" s="117"/>
      <c r="B304" s="117"/>
      <c r="C304" s="117"/>
      <c r="D304" s="117"/>
      <c r="E304" s="63" t="str">
        <f t="shared" si="12"/>
        <v/>
      </c>
      <c r="F304" s="117"/>
      <c r="G304" s="117"/>
      <c r="H304" s="117"/>
      <c r="I304" s="117"/>
      <c r="J304" s="117"/>
      <c r="K304" s="117"/>
      <c r="L304" s="117"/>
      <c r="M304" s="117"/>
      <c r="N304" s="117"/>
      <c r="O304" s="117"/>
    </row>
    <row r="305" spans="1:15">
      <c r="A305" s="117"/>
      <c r="B305" s="117"/>
      <c r="C305" s="117"/>
      <c r="D305" s="117"/>
      <c r="E305" s="63" t="str">
        <f t="shared" si="12"/>
        <v/>
      </c>
      <c r="F305" s="117"/>
      <c r="G305" s="117"/>
      <c r="H305" s="117"/>
      <c r="I305" s="117"/>
      <c r="J305" s="117"/>
      <c r="K305" s="117"/>
      <c r="L305" s="117"/>
      <c r="M305" s="117"/>
      <c r="N305" s="117"/>
      <c r="O305" s="117"/>
    </row>
    <row r="306" spans="1:15">
      <c r="A306" s="117"/>
      <c r="B306" s="117"/>
      <c r="C306" s="117"/>
      <c r="D306" s="117"/>
      <c r="E306" s="63" t="str">
        <f t="shared" si="12"/>
        <v/>
      </c>
      <c r="F306" s="117"/>
      <c r="G306" s="117"/>
      <c r="H306" s="117"/>
      <c r="I306" s="117"/>
      <c r="J306" s="117"/>
      <c r="K306" s="117"/>
      <c r="L306" s="117"/>
      <c r="M306" s="117"/>
      <c r="N306" s="117"/>
      <c r="O306" s="117"/>
    </row>
    <row r="307" spans="1:15">
      <c r="A307" s="117"/>
      <c r="B307" s="117"/>
      <c r="C307" s="117"/>
      <c r="D307" s="117"/>
      <c r="E307" s="63" t="str">
        <f t="shared" si="12"/>
        <v/>
      </c>
      <c r="F307" s="117"/>
      <c r="G307" s="117"/>
      <c r="H307" s="117"/>
      <c r="I307" s="117"/>
      <c r="J307" s="117"/>
      <c r="K307" s="117"/>
      <c r="L307" s="117"/>
      <c r="M307" s="117"/>
      <c r="N307" s="117"/>
      <c r="O307" s="117"/>
    </row>
    <row r="308" spans="1:15">
      <c r="A308" s="117"/>
      <c r="B308" s="117"/>
      <c r="C308" s="117"/>
      <c r="D308" s="117"/>
      <c r="E308" s="63" t="str">
        <f t="shared" si="12"/>
        <v/>
      </c>
      <c r="F308" s="117"/>
      <c r="G308" s="117"/>
      <c r="H308" s="117"/>
      <c r="I308" s="117"/>
      <c r="J308" s="117"/>
      <c r="K308" s="117"/>
      <c r="L308" s="117"/>
      <c r="M308" s="117"/>
      <c r="N308" s="117"/>
      <c r="O308" s="117"/>
    </row>
    <row r="309" spans="1:15">
      <c r="A309" s="117"/>
      <c r="B309" s="117"/>
      <c r="C309" s="117"/>
      <c r="D309" s="117"/>
      <c r="E309" s="63" t="str">
        <f t="shared" si="12"/>
        <v/>
      </c>
      <c r="F309" s="117"/>
      <c r="G309" s="117"/>
      <c r="H309" s="117"/>
      <c r="I309" s="117"/>
      <c r="J309" s="117"/>
      <c r="K309" s="117"/>
      <c r="L309" s="117"/>
      <c r="M309" s="117"/>
      <c r="N309" s="117"/>
      <c r="O309" s="117"/>
    </row>
    <row r="310" spans="1:15">
      <c r="A310" s="117"/>
      <c r="B310" s="117"/>
      <c r="C310" s="117"/>
      <c r="D310" s="117"/>
      <c r="E310" s="63" t="str">
        <f t="shared" ref="E310:E373" si="13">IF(OR(C310="",D310=""),"",C310*D310)</f>
        <v/>
      </c>
      <c r="F310" s="117"/>
      <c r="G310" s="117"/>
      <c r="H310" s="117"/>
      <c r="I310" s="117"/>
      <c r="J310" s="117"/>
      <c r="K310" s="117"/>
      <c r="L310" s="117"/>
      <c r="M310" s="117"/>
      <c r="N310" s="117"/>
      <c r="O310" s="117"/>
    </row>
    <row r="311" spans="1:15">
      <c r="A311" s="117"/>
      <c r="B311" s="117"/>
      <c r="C311" s="117"/>
      <c r="D311" s="117"/>
      <c r="E311" s="63" t="str">
        <f t="shared" si="13"/>
        <v/>
      </c>
      <c r="F311" s="117"/>
      <c r="G311" s="117"/>
      <c r="H311" s="117"/>
      <c r="I311" s="117"/>
      <c r="J311" s="117"/>
      <c r="K311" s="117"/>
      <c r="L311" s="117"/>
      <c r="M311" s="117"/>
      <c r="N311" s="117"/>
      <c r="O311" s="117"/>
    </row>
    <row r="312" spans="1:15">
      <c r="A312" s="117"/>
      <c r="B312" s="117"/>
      <c r="C312" s="117"/>
      <c r="D312" s="117"/>
      <c r="E312" s="63" t="str">
        <f t="shared" si="13"/>
        <v/>
      </c>
      <c r="F312" s="117"/>
      <c r="G312" s="117"/>
      <c r="H312" s="117"/>
      <c r="I312" s="117"/>
      <c r="J312" s="117"/>
      <c r="K312" s="117"/>
      <c r="L312" s="117"/>
      <c r="M312" s="117"/>
      <c r="N312" s="117"/>
      <c r="O312" s="117"/>
    </row>
    <row r="313" spans="1:15">
      <c r="A313" s="117"/>
      <c r="B313" s="117"/>
      <c r="C313" s="117"/>
      <c r="D313" s="117"/>
      <c r="E313" s="63" t="str">
        <f t="shared" si="13"/>
        <v/>
      </c>
      <c r="F313" s="117"/>
      <c r="G313" s="117"/>
      <c r="H313" s="117"/>
      <c r="I313" s="117"/>
      <c r="J313" s="117"/>
      <c r="K313" s="117"/>
      <c r="L313" s="117"/>
      <c r="M313" s="117"/>
      <c r="N313" s="117"/>
      <c r="O313" s="117"/>
    </row>
    <row r="314" spans="1:15">
      <c r="A314" s="117"/>
      <c r="B314" s="117"/>
      <c r="C314" s="117"/>
      <c r="D314" s="117"/>
      <c r="E314" s="63" t="str">
        <f t="shared" si="13"/>
        <v/>
      </c>
      <c r="F314" s="117"/>
      <c r="G314" s="117"/>
      <c r="H314" s="117"/>
      <c r="I314" s="117"/>
      <c r="J314" s="117"/>
      <c r="K314" s="117"/>
      <c r="L314" s="117"/>
      <c r="M314" s="117"/>
      <c r="N314" s="117"/>
      <c r="O314" s="117"/>
    </row>
    <row r="315" spans="1:15">
      <c r="A315" s="117"/>
      <c r="B315" s="117"/>
      <c r="C315" s="117"/>
      <c r="D315" s="117"/>
      <c r="E315" s="63" t="str">
        <f t="shared" si="13"/>
        <v/>
      </c>
      <c r="F315" s="117"/>
      <c r="G315" s="117"/>
      <c r="H315" s="117"/>
      <c r="I315" s="117"/>
      <c r="J315" s="117"/>
      <c r="K315" s="117"/>
      <c r="L315" s="117"/>
      <c r="M315" s="117"/>
      <c r="N315" s="117"/>
      <c r="O315" s="117"/>
    </row>
    <row r="316" spans="1:15">
      <c r="A316" s="117"/>
      <c r="B316" s="117"/>
      <c r="C316" s="117"/>
      <c r="D316" s="117"/>
      <c r="E316" s="63" t="str">
        <f t="shared" si="13"/>
        <v/>
      </c>
      <c r="F316" s="117"/>
      <c r="G316" s="117"/>
      <c r="H316" s="117"/>
      <c r="I316" s="117"/>
      <c r="J316" s="117"/>
      <c r="K316" s="117"/>
      <c r="L316" s="117"/>
      <c r="M316" s="117"/>
      <c r="N316" s="117"/>
      <c r="O316" s="117"/>
    </row>
    <row r="317" spans="1:15">
      <c r="A317" s="117"/>
      <c r="B317" s="117"/>
      <c r="C317" s="117"/>
      <c r="D317" s="117"/>
      <c r="E317" s="63" t="str">
        <f t="shared" si="13"/>
        <v/>
      </c>
      <c r="F317" s="117"/>
      <c r="G317" s="117"/>
      <c r="H317" s="117"/>
      <c r="I317" s="117"/>
      <c r="J317" s="117"/>
      <c r="K317" s="117"/>
      <c r="L317" s="117"/>
      <c r="M317" s="117"/>
      <c r="N317" s="117"/>
      <c r="O317" s="117"/>
    </row>
    <row r="318" spans="1:15">
      <c r="A318" s="117"/>
      <c r="B318" s="117"/>
      <c r="C318" s="117"/>
      <c r="D318" s="117"/>
      <c r="E318" s="63" t="str">
        <f t="shared" si="13"/>
        <v/>
      </c>
      <c r="F318" s="117"/>
      <c r="G318" s="117"/>
      <c r="H318" s="117"/>
      <c r="I318" s="117"/>
      <c r="J318" s="117"/>
      <c r="K318" s="117"/>
      <c r="L318" s="117"/>
      <c r="M318" s="117"/>
      <c r="N318" s="117"/>
      <c r="O318" s="117"/>
    </row>
    <row r="319" spans="1:15">
      <c r="A319" s="117"/>
      <c r="B319" s="117"/>
      <c r="C319" s="117"/>
      <c r="D319" s="117"/>
      <c r="E319" s="63" t="str">
        <f t="shared" si="13"/>
        <v/>
      </c>
      <c r="F319" s="117"/>
      <c r="G319" s="117"/>
      <c r="H319" s="117"/>
      <c r="I319" s="117"/>
      <c r="J319" s="117"/>
      <c r="K319" s="117"/>
      <c r="L319" s="117"/>
      <c r="M319" s="117"/>
      <c r="N319" s="117"/>
      <c r="O319" s="117"/>
    </row>
    <row r="320" spans="1:15">
      <c r="A320" s="117"/>
      <c r="B320" s="117"/>
      <c r="C320" s="117"/>
      <c r="D320" s="117"/>
      <c r="E320" s="63" t="str">
        <f t="shared" si="13"/>
        <v/>
      </c>
      <c r="F320" s="117"/>
      <c r="G320" s="117"/>
      <c r="H320" s="117"/>
      <c r="I320" s="117"/>
      <c r="J320" s="117"/>
      <c r="K320" s="117"/>
      <c r="L320" s="117"/>
      <c r="M320" s="117"/>
      <c r="N320" s="117"/>
      <c r="O320" s="117"/>
    </row>
    <row r="321" spans="1:15">
      <c r="A321" s="117"/>
      <c r="B321" s="117"/>
      <c r="C321" s="117"/>
      <c r="D321" s="117"/>
      <c r="E321" s="63" t="str">
        <f t="shared" si="13"/>
        <v/>
      </c>
      <c r="F321" s="117"/>
      <c r="G321" s="117"/>
      <c r="H321" s="117"/>
      <c r="I321" s="117"/>
      <c r="J321" s="117"/>
      <c r="K321" s="117"/>
      <c r="L321" s="117"/>
      <c r="M321" s="117"/>
      <c r="N321" s="117"/>
      <c r="O321" s="117"/>
    </row>
    <row r="322" spans="1:15">
      <c r="A322" s="117"/>
      <c r="B322" s="117"/>
      <c r="C322" s="117"/>
      <c r="D322" s="117"/>
      <c r="E322" s="63" t="str">
        <f t="shared" si="13"/>
        <v/>
      </c>
      <c r="F322" s="117"/>
      <c r="G322" s="117"/>
      <c r="H322" s="117"/>
      <c r="I322" s="117"/>
      <c r="J322" s="117"/>
      <c r="K322" s="117"/>
      <c r="L322" s="117"/>
      <c r="M322" s="117"/>
      <c r="N322" s="117"/>
      <c r="O322" s="117"/>
    </row>
    <row r="323" spans="1:15">
      <c r="A323" s="117"/>
      <c r="B323" s="117"/>
      <c r="C323" s="117"/>
      <c r="D323" s="117"/>
      <c r="E323" s="63" t="str">
        <f t="shared" si="13"/>
        <v/>
      </c>
      <c r="F323" s="117"/>
      <c r="G323" s="117"/>
      <c r="H323" s="117"/>
      <c r="I323" s="117"/>
      <c r="J323" s="117"/>
      <c r="K323" s="117"/>
      <c r="L323" s="117"/>
      <c r="M323" s="117"/>
      <c r="N323" s="117"/>
      <c r="O323" s="117"/>
    </row>
    <row r="324" spans="1:15">
      <c r="A324" s="117"/>
      <c r="B324" s="117"/>
      <c r="C324" s="117"/>
      <c r="D324" s="117"/>
      <c r="E324" s="63" t="str">
        <f t="shared" si="13"/>
        <v/>
      </c>
      <c r="F324" s="117"/>
      <c r="G324" s="117"/>
      <c r="H324" s="117"/>
      <c r="I324" s="117"/>
      <c r="J324" s="117"/>
      <c r="K324" s="117"/>
      <c r="L324" s="117"/>
      <c r="M324" s="117"/>
      <c r="N324" s="117"/>
      <c r="O324" s="117"/>
    </row>
    <row r="325" spans="1:15">
      <c r="A325" s="117"/>
      <c r="B325" s="117"/>
      <c r="C325" s="117"/>
      <c r="D325" s="117"/>
      <c r="E325" s="63" t="str">
        <f t="shared" si="13"/>
        <v/>
      </c>
      <c r="F325" s="117"/>
      <c r="G325" s="117"/>
      <c r="H325" s="117"/>
      <c r="I325" s="117"/>
      <c r="J325" s="117"/>
      <c r="K325" s="117"/>
      <c r="L325" s="117"/>
      <c r="M325" s="117"/>
      <c r="N325" s="117"/>
      <c r="O325" s="117"/>
    </row>
    <row r="326" spans="1:15">
      <c r="A326" s="117"/>
      <c r="B326" s="117"/>
      <c r="C326" s="117"/>
      <c r="D326" s="117"/>
      <c r="E326" s="63" t="str">
        <f t="shared" si="13"/>
        <v/>
      </c>
      <c r="F326" s="117"/>
      <c r="G326" s="117"/>
      <c r="H326" s="117"/>
      <c r="I326" s="117"/>
      <c r="J326" s="117"/>
      <c r="K326" s="117"/>
      <c r="L326" s="117"/>
      <c r="M326" s="117"/>
      <c r="N326" s="117"/>
      <c r="O326" s="117"/>
    </row>
    <row r="327" spans="1:15">
      <c r="A327" s="117"/>
      <c r="B327" s="117"/>
      <c r="C327" s="117"/>
      <c r="D327" s="117"/>
      <c r="E327" s="63" t="str">
        <f t="shared" si="13"/>
        <v/>
      </c>
      <c r="F327" s="117"/>
      <c r="G327" s="117"/>
      <c r="H327" s="117"/>
      <c r="I327" s="117"/>
      <c r="J327" s="117"/>
      <c r="K327" s="117"/>
      <c r="L327" s="117"/>
      <c r="M327" s="117"/>
      <c r="N327" s="117"/>
      <c r="O327" s="117"/>
    </row>
    <row r="328" spans="1:15">
      <c r="A328" s="117"/>
      <c r="B328" s="117"/>
      <c r="C328" s="117"/>
      <c r="D328" s="117"/>
      <c r="E328" s="63" t="str">
        <f t="shared" si="13"/>
        <v/>
      </c>
      <c r="F328" s="117"/>
      <c r="G328" s="117"/>
      <c r="H328" s="117"/>
      <c r="I328" s="117"/>
      <c r="J328" s="117"/>
      <c r="K328" s="117"/>
      <c r="L328" s="117"/>
      <c r="M328" s="117"/>
      <c r="N328" s="117"/>
      <c r="O328" s="117"/>
    </row>
    <row r="329" spans="1:15">
      <c r="A329" s="117"/>
      <c r="B329" s="117"/>
      <c r="C329" s="117"/>
      <c r="D329" s="117"/>
      <c r="E329" s="63" t="str">
        <f t="shared" si="13"/>
        <v/>
      </c>
      <c r="F329" s="117"/>
      <c r="G329" s="117"/>
      <c r="H329" s="117"/>
      <c r="I329" s="117"/>
      <c r="J329" s="117"/>
      <c r="K329" s="117"/>
      <c r="L329" s="117"/>
      <c r="M329" s="117"/>
      <c r="N329" s="117"/>
      <c r="O329" s="117"/>
    </row>
    <row r="330" spans="1:15">
      <c r="A330" s="117"/>
      <c r="B330" s="117"/>
      <c r="C330" s="117"/>
      <c r="D330" s="117"/>
      <c r="E330" s="63" t="str">
        <f t="shared" si="13"/>
        <v/>
      </c>
      <c r="F330" s="117"/>
      <c r="G330" s="117"/>
      <c r="H330" s="117"/>
      <c r="I330" s="117"/>
      <c r="J330" s="117"/>
      <c r="K330" s="117"/>
      <c r="L330" s="117"/>
      <c r="M330" s="117"/>
      <c r="N330" s="117"/>
      <c r="O330" s="117"/>
    </row>
    <row r="331" spans="1:15">
      <c r="A331" s="117"/>
      <c r="B331" s="117"/>
      <c r="C331" s="117"/>
      <c r="D331" s="117"/>
      <c r="E331" s="63" t="str">
        <f t="shared" si="13"/>
        <v/>
      </c>
      <c r="F331" s="117"/>
      <c r="G331" s="117"/>
      <c r="H331" s="117"/>
      <c r="I331" s="117"/>
      <c r="J331" s="117"/>
      <c r="K331" s="117"/>
      <c r="L331" s="117"/>
      <c r="M331" s="117"/>
      <c r="N331" s="117"/>
      <c r="O331" s="117"/>
    </row>
    <row r="332" spans="1:15">
      <c r="A332" s="117"/>
      <c r="B332" s="117"/>
      <c r="C332" s="117"/>
      <c r="D332" s="117"/>
      <c r="E332" s="63" t="str">
        <f t="shared" si="13"/>
        <v/>
      </c>
      <c r="F332" s="117"/>
      <c r="G332" s="117"/>
      <c r="H332" s="117"/>
      <c r="I332" s="117"/>
      <c r="J332" s="117"/>
      <c r="K332" s="117"/>
      <c r="L332" s="117"/>
      <c r="M332" s="117"/>
      <c r="N332" s="117"/>
      <c r="O332" s="117"/>
    </row>
    <row r="333" spans="1:15">
      <c r="A333" s="117"/>
      <c r="B333" s="117"/>
      <c r="C333" s="117"/>
      <c r="D333" s="117"/>
      <c r="E333" s="63" t="str">
        <f t="shared" si="13"/>
        <v/>
      </c>
      <c r="F333" s="117"/>
      <c r="G333" s="117"/>
      <c r="H333" s="117"/>
      <c r="I333" s="117"/>
      <c r="J333" s="117"/>
      <c r="K333" s="117"/>
      <c r="L333" s="117"/>
      <c r="M333" s="117"/>
      <c r="N333" s="117"/>
      <c r="O333" s="117"/>
    </row>
    <row r="334" spans="1:15">
      <c r="A334" s="117"/>
      <c r="B334" s="117"/>
      <c r="C334" s="117"/>
      <c r="D334" s="117"/>
      <c r="E334" s="63" t="str">
        <f t="shared" si="13"/>
        <v/>
      </c>
      <c r="F334" s="117"/>
      <c r="G334" s="117"/>
      <c r="H334" s="117"/>
      <c r="I334" s="117"/>
      <c r="J334" s="117"/>
      <c r="K334" s="117"/>
      <c r="L334" s="117"/>
      <c r="M334" s="117"/>
      <c r="N334" s="117"/>
      <c r="O334" s="117"/>
    </row>
    <row r="335" spans="1:15">
      <c r="A335" s="117"/>
      <c r="B335" s="117"/>
      <c r="C335" s="117"/>
      <c r="D335" s="117"/>
      <c r="E335" s="63" t="str">
        <f t="shared" si="13"/>
        <v/>
      </c>
      <c r="F335" s="117"/>
      <c r="G335" s="117"/>
      <c r="H335" s="117"/>
      <c r="I335" s="117"/>
      <c r="J335" s="117"/>
      <c r="K335" s="117"/>
      <c r="L335" s="117"/>
      <c r="M335" s="117"/>
      <c r="N335" s="117"/>
      <c r="O335" s="117"/>
    </row>
    <row r="336" spans="1:15">
      <c r="A336" s="117"/>
      <c r="B336" s="117"/>
      <c r="C336" s="117"/>
      <c r="D336" s="117"/>
      <c r="E336" s="63" t="str">
        <f t="shared" si="13"/>
        <v/>
      </c>
      <c r="F336" s="117"/>
      <c r="G336" s="117"/>
      <c r="H336" s="117"/>
      <c r="I336" s="117"/>
      <c r="J336" s="117"/>
      <c r="K336" s="117"/>
      <c r="L336" s="117"/>
      <c r="M336" s="117"/>
      <c r="N336" s="117"/>
      <c r="O336" s="117"/>
    </row>
    <row r="337" spans="1:15">
      <c r="A337" s="117"/>
      <c r="B337" s="117"/>
      <c r="C337" s="117"/>
      <c r="D337" s="117"/>
      <c r="E337" s="63" t="str">
        <f t="shared" si="13"/>
        <v/>
      </c>
      <c r="F337" s="117"/>
      <c r="G337" s="117"/>
      <c r="H337" s="117"/>
      <c r="I337" s="117"/>
      <c r="J337" s="117"/>
      <c r="K337" s="117"/>
      <c r="L337" s="117"/>
      <c r="M337" s="117"/>
      <c r="N337" s="117"/>
      <c r="O337" s="117"/>
    </row>
    <row r="338" spans="1:15">
      <c r="A338" s="117"/>
      <c r="B338" s="117"/>
      <c r="C338" s="117"/>
      <c r="D338" s="117"/>
      <c r="E338" s="63" t="str">
        <f t="shared" si="13"/>
        <v/>
      </c>
      <c r="F338" s="117"/>
      <c r="G338" s="117"/>
      <c r="H338" s="117"/>
      <c r="I338" s="117"/>
      <c r="J338" s="117"/>
      <c r="K338" s="117"/>
      <c r="L338" s="117"/>
      <c r="M338" s="117"/>
      <c r="N338" s="117"/>
      <c r="O338" s="117"/>
    </row>
    <row r="339" spans="1:15">
      <c r="A339" s="117"/>
      <c r="B339" s="117"/>
      <c r="C339" s="117"/>
      <c r="D339" s="117"/>
      <c r="E339" s="63" t="str">
        <f t="shared" si="13"/>
        <v/>
      </c>
      <c r="F339" s="117"/>
      <c r="G339" s="117"/>
      <c r="H339" s="117"/>
      <c r="I339" s="117"/>
      <c r="J339" s="117"/>
      <c r="K339" s="117"/>
      <c r="L339" s="117"/>
      <c r="M339" s="117"/>
      <c r="N339" s="117"/>
      <c r="O339" s="117"/>
    </row>
    <row r="340" spans="1:15">
      <c r="A340" s="117"/>
      <c r="B340" s="117"/>
      <c r="C340" s="117"/>
      <c r="D340" s="117"/>
      <c r="E340" s="63" t="str">
        <f t="shared" si="13"/>
        <v/>
      </c>
      <c r="F340" s="117"/>
      <c r="G340" s="117"/>
      <c r="H340" s="117"/>
      <c r="I340" s="117"/>
      <c r="J340" s="117"/>
      <c r="K340" s="117"/>
      <c r="L340" s="117"/>
      <c r="M340" s="117"/>
      <c r="N340" s="117"/>
      <c r="O340" s="117"/>
    </row>
    <row r="341" spans="1:15">
      <c r="A341" s="117"/>
      <c r="B341" s="117"/>
      <c r="C341" s="117"/>
      <c r="D341" s="117"/>
      <c r="E341" s="63" t="str">
        <f t="shared" si="13"/>
        <v/>
      </c>
      <c r="F341" s="117"/>
      <c r="G341" s="117"/>
      <c r="H341" s="117"/>
      <c r="I341" s="117"/>
      <c r="J341" s="117"/>
      <c r="K341" s="117"/>
      <c r="L341" s="117"/>
      <c r="M341" s="117"/>
      <c r="N341" s="117"/>
      <c r="O341" s="117"/>
    </row>
    <row r="342" spans="1:15">
      <c r="A342" s="117"/>
      <c r="B342" s="117"/>
      <c r="C342" s="117"/>
      <c r="D342" s="117"/>
      <c r="E342" s="63" t="str">
        <f t="shared" si="13"/>
        <v/>
      </c>
      <c r="F342" s="117"/>
      <c r="G342" s="117"/>
      <c r="H342" s="117"/>
      <c r="I342" s="117"/>
      <c r="J342" s="117"/>
      <c r="K342" s="117"/>
      <c r="L342" s="117"/>
      <c r="M342" s="117"/>
      <c r="N342" s="117"/>
      <c r="O342" s="117"/>
    </row>
    <row r="343" spans="1:15">
      <c r="A343" s="117"/>
      <c r="B343" s="117"/>
      <c r="C343" s="117"/>
      <c r="D343" s="117"/>
      <c r="E343" s="63" t="str">
        <f t="shared" si="13"/>
        <v/>
      </c>
      <c r="F343" s="117"/>
      <c r="G343" s="117"/>
      <c r="H343" s="117"/>
      <c r="I343" s="117"/>
      <c r="J343" s="117"/>
      <c r="K343" s="117"/>
      <c r="L343" s="117"/>
      <c r="M343" s="117"/>
      <c r="N343" s="117"/>
      <c r="O343" s="117"/>
    </row>
    <row r="344" spans="1:15">
      <c r="A344" s="117"/>
      <c r="B344" s="117"/>
      <c r="C344" s="117"/>
      <c r="D344" s="117"/>
      <c r="E344" s="63" t="str">
        <f t="shared" si="13"/>
        <v/>
      </c>
      <c r="F344" s="117"/>
      <c r="G344" s="117"/>
      <c r="H344" s="117"/>
      <c r="I344" s="117"/>
      <c r="J344" s="117"/>
      <c r="K344" s="117"/>
      <c r="L344" s="117"/>
      <c r="M344" s="117"/>
      <c r="N344" s="117"/>
      <c r="O344" s="117"/>
    </row>
    <row r="345" spans="1:15">
      <c r="A345" s="117"/>
      <c r="B345" s="117"/>
      <c r="C345" s="117"/>
      <c r="D345" s="117"/>
      <c r="E345" s="63" t="str">
        <f t="shared" si="13"/>
        <v/>
      </c>
      <c r="F345" s="117"/>
      <c r="G345" s="117"/>
      <c r="H345" s="117"/>
      <c r="I345" s="117"/>
      <c r="J345" s="117"/>
      <c r="K345" s="117"/>
      <c r="L345" s="117"/>
      <c r="M345" s="117"/>
      <c r="N345" s="117"/>
      <c r="O345" s="117"/>
    </row>
    <row r="346" spans="1:15">
      <c r="A346" s="117"/>
      <c r="B346" s="117"/>
      <c r="C346" s="117"/>
      <c r="D346" s="117"/>
      <c r="E346" s="63" t="str">
        <f t="shared" si="13"/>
        <v/>
      </c>
      <c r="F346" s="117"/>
      <c r="G346" s="117"/>
      <c r="H346" s="117"/>
      <c r="I346" s="117"/>
      <c r="J346" s="117"/>
      <c r="K346" s="117"/>
      <c r="L346" s="117"/>
      <c r="M346" s="117"/>
      <c r="N346" s="117"/>
      <c r="O346" s="117"/>
    </row>
    <row r="347" spans="1:15">
      <c r="A347" s="117"/>
      <c r="B347" s="117"/>
      <c r="C347" s="117"/>
      <c r="D347" s="117"/>
      <c r="E347" s="63" t="str">
        <f t="shared" si="13"/>
        <v/>
      </c>
      <c r="F347" s="117"/>
      <c r="G347" s="117"/>
      <c r="H347" s="117"/>
      <c r="I347" s="117"/>
      <c r="J347" s="117"/>
      <c r="K347" s="117"/>
      <c r="L347" s="117"/>
      <c r="M347" s="117"/>
      <c r="N347" s="117"/>
      <c r="O347" s="117"/>
    </row>
    <row r="348" spans="1:15">
      <c r="A348" s="117"/>
      <c r="B348" s="117"/>
      <c r="C348" s="117"/>
      <c r="D348" s="117"/>
      <c r="E348" s="63" t="str">
        <f t="shared" si="13"/>
        <v/>
      </c>
      <c r="F348" s="117"/>
      <c r="G348" s="117"/>
      <c r="H348" s="117"/>
      <c r="I348" s="117"/>
      <c r="J348" s="117"/>
      <c r="K348" s="117"/>
      <c r="L348" s="117"/>
      <c r="M348" s="117"/>
      <c r="N348" s="117"/>
      <c r="O348" s="117"/>
    </row>
    <row r="349" spans="1:15">
      <c r="A349" s="117"/>
      <c r="B349" s="117"/>
      <c r="C349" s="117"/>
      <c r="D349" s="117"/>
      <c r="E349" s="63" t="str">
        <f t="shared" si="13"/>
        <v/>
      </c>
      <c r="F349" s="117"/>
      <c r="G349" s="117"/>
      <c r="H349" s="117"/>
      <c r="I349" s="117"/>
      <c r="J349" s="117"/>
      <c r="K349" s="117"/>
      <c r="L349" s="117"/>
      <c r="M349" s="117"/>
      <c r="N349" s="117"/>
      <c r="O349" s="117"/>
    </row>
    <row r="350" spans="1:15">
      <c r="A350" s="117"/>
      <c r="B350" s="117"/>
      <c r="C350" s="117"/>
      <c r="D350" s="117"/>
      <c r="E350" s="63" t="str">
        <f t="shared" si="13"/>
        <v/>
      </c>
      <c r="F350" s="117"/>
      <c r="G350" s="117"/>
      <c r="H350" s="117"/>
      <c r="I350" s="117"/>
      <c r="J350" s="117"/>
      <c r="K350" s="117"/>
      <c r="L350" s="117"/>
      <c r="M350" s="117"/>
      <c r="N350" s="117"/>
      <c r="O350" s="117"/>
    </row>
    <row r="351" spans="1:15">
      <c r="A351" s="117"/>
      <c r="B351" s="117"/>
      <c r="C351" s="117"/>
      <c r="D351" s="117"/>
      <c r="E351" s="63" t="str">
        <f t="shared" si="13"/>
        <v/>
      </c>
      <c r="F351" s="117"/>
      <c r="G351" s="117"/>
      <c r="H351" s="117"/>
      <c r="I351" s="117"/>
      <c r="J351" s="117"/>
      <c r="K351" s="117"/>
      <c r="L351" s="117"/>
      <c r="M351" s="117"/>
      <c r="N351" s="117"/>
      <c r="O351" s="117"/>
    </row>
    <row r="352" spans="1:15">
      <c r="A352" s="117"/>
      <c r="B352" s="117"/>
      <c r="C352" s="117"/>
      <c r="D352" s="117"/>
      <c r="E352" s="63" t="str">
        <f t="shared" si="13"/>
        <v/>
      </c>
      <c r="F352" s="117"/>
      <c r="G352" s="117"/>
      <c r="H352" s="117"/>
      <c r="I352" s="117"/>
      <c r="J352" s="117"/>
      <c r="K352" s="117"/>
      <c r="L352" s="117"/>
      <c r="M352" s="117"/>
      <c r="N352" s="117"/>
      <c r="O352" s="117"/>
    </row>
    <row r="353" spans="1:15">
      <c r="A353" s="117"/>
      <c r="B353" s="117"/>
      <c r="C353" s="117"/>
      <c r="D353" s="117"/>
      <c r="E353" s="63" t="str">
        <f t="shared" si="13"/>
        <v/>
      </c>
      <c r="F353" s="117"/>
      <c r="G353" s="117"/>
      <c r="H353" s="117"/>
      <c r="I353" s="117"/>
      <c r="J353" s="117"/>
      <c r="K353" s="117"/>
      <c r="L353" s="117"/>
      <c r="M353" s="117"/>
      <c r="N353" s="117"/>
      <c r="O353" s="117"/>
    </row>
    <row r="354" spans="1:15">
      <c r="A354" s="117"/>
      <c r="B354" s="117"/>
      <c r="C354" s="117"/>
      <c r="D354" s="117"/>
      <c r="E354" s="63" t="str">
        <f t="shared" si="13"/>
        <v/>
      </c>
      <c r="F354" s="117"/>
      <c r="G354" s="117"/>
      <c r="H354" s="117"/>
      <c r="I354" s="117"/>
      <c r="J354" s="117"/>
      <c r="K354" s="117"/>
      <c r="L354" s="117"/>
      <c r="M354" s="117"/>
      <c r="N354" s="117"/>
      <c r="O354" s="117"/>
    </row>
    <row r="355" spans="1:15">
      <c r="A355" s="117"/>
      <c r="B355" s="117"/>
      <c r="C355" s="117"/>
      <c r="D355" s="117"/>
      <c r="E355" s="63" t="str">
        <f t="shared" si="13"/>
        <v/>
      </c>
      <c r="F355" s="117"/>
      <c r="G355" s="117"/>
      <c r="H355" s="117"/>
      <c r="I355" s="117"/>
      <c r="J355" s="117"/>
      <c r="K355" s="117"/>
      <c r="L355" s="117"/>
      <c r="M355" s="117"/>
      <c r="N355" s="117"/>
      <c r="O355" s="117"/>
    </row>
    <row r="356" spans="1:15">
      <c r="A356" s="117"/>
      <c r="B356" s="117"/>
      <c r="C356" s="117"/>
      <c r="D356" s="117"/>
      <c r="E356" s="63" t="str">
        <f t="shared" si="13"/>
        <v/>
      </c>
      <c r="F356" s="117"/>
      <c r="G356" s="117"/>
      <c r="H356" s="117"/>
      <c r="I356" s="117"/>
      <c r="J356" s="117"/>
      <c r="K356" s="117"/>
      <c r="L356" s="117"/>
      <c r="M356" s="117"/>
      <c r="N356" s="117"/>
      <c r="O356" s="117"/>
    </row>
    <row r="357" spans="1:15">
      <c r="A357" s="117"/>
      <c r="B357" s="117"/>
      <c r="C357" s="117"/>
      <c r="D357" s="117"/>
      <c r="E357" s="63" t="str">
        <f t="shared" si="13"/>
        <v/>
      </c>
      <c r="F357" s="117"/>
      <c r="G357" s="117"/>
      <c r="H357" s="117"/>
      <c r="I357" s="117"/>
      <c r="J357" s="117"/>
      <c r="K357" s="117"/>
      <c r="L357" s="117"/>
      <c r="M357" s="117"/>
      <c r="N357" s="117"/>
      <c r="O357" s="117"/>
    </row>
    <row r="358" spans="1:15">
      <c r="A358" s="117"/>
      <c r="B358" s="117"/>
      <c r="C358" s="117"/>
      <c r="D358" s="117"/>
      <c r="E358" s="63" t="str">
        <f t="shared" si="13"/>
        <v/>
      </c>
      <c r="F358" s="117"/>
      <c r="G358" s="117"/>
      <c r="H358" s="117"/>
      <c r="I358" s="117"/>
      <c r="J358" s="117"/>
      <c r="K358" s="117"/>
      <c r="L358" s="117"/>
      <c r="M358" s="117"/>
      <c r="N358" s="117"/>
      <c r="O358" s="117"/>
    </row>
    <row r="359" spans="1:15">
      <c r="A359" s="117"/>
      <c r="B359" s="117"/>
      <c r="C359" s="117"/>
      <c r="D359" s="117"/>
      <c r="E359" s="63" t="str">
        <f t="shared" si="13"/>
        <v/>
      </c>
      <c r="F359" s="117"/>
      <c r="G359" s="117"/>
      <c r="H359" s="117"/>
      <c r="I359" s="117"/>
      <c r="J359" s="117"/>
      <c r="K359" s="117"/>
      <c r="L359" s="117"/>
      <c r="M359" s="117"/>
      <c r="N359" s="117"/>
      <c r="O359" s="117"/>
    </row>
    <row r="360" spans="1:15">
      <c r="A360" s="117"/>
      <c r="B360" s="117"/>
      <c r="C360" s="117"/>
      <c r="D360" s="117"/>
      <c r="E360" s="63" t="str">
        <f t="shared" si="13"/>
        <v/>
      </c>
      <c r="F360" s="117"/>
      <c r="G360" s="117"/>
      <c r="H360" s="117"/>
      <c r="I360" s="117"/>
      <c r="J360" s="117"/>
      <c r="K360" s="117"/>
      <c r="L360" s="117"/>
      <c r="M360" s="117"/>
      <c r="N360" s="117"/>
      <c r="O360" s="117"/>
    </row>
    <row r="361" spans="1:15">
      <c r="A361" s="117"/>
      <c r="B361" s="117"/>
      <c r="C361" s="117"/>
      <c r="D361" s="117"/>
      <c r="E361" s="63" t="str">
        <f t="shared" si="13"/>
        <v/>
      </c>
      <c r="F361" s="117"/>
      <c r="G361" s="117"/>
      <c r="H361" s="117"/>
      <c r="I361" s="117"/>
      <c r="J361" s="117"/>
      <c r="K361" s="117"/>
      <c r="L361" s="117"/>
      <c r="M361" s="117"/>
      <c r="N361" s="117"/>
      <c r="O361" s="117"/>
    </row>
    <row r="362" spans="1:15">
      <c r="A362" s="117"/>
      <c r="B362" s="117"/>
      <c r="C362" s="117"/>
      <c r="D362" s="117"/>
      <c r="E362" s="63" t="str">
        <f t="shared" si="13"/>
        <v/>
      </c>
      <c r="F362" s="117"/>
      <c r="G362" s="117"/>
      <c r="H362" s="117"/>
      <c r="I362" s="117"/>
      <c r="J362" s="117"/>
      <c r="K362" s="117"/>
      <c r="L362" s="117"/>
      <c r="M362" s="117"/>
      <c r="N362" s="117"/>
      <c r="O362" s="117"/>
    </row>
    <row r="363" spans="1:15">
      <c r="A363" s="117"/>
      <c r="B363" s="117"/>
      <c r="C363" s="117"/>
      <c r="D363" s="117"/>
      <c r="E363" s="63" t="str">
        <f t="shared" si="13"/>
        <v/>
      </c>
      <c r="F363" s="117"/>
      <c r="G363" s="117"/>
      <c r="H363" s="117"/>
      <c r="I363" s="117"/>
      <c r="J363" s="117"/>
      <c r="K363" s="117"/>
      <c r="L363" s="117"/>
      <c r="M363" s="117"/>
      <c r="N363" s="117"/>
      <c r="O363" s="117"/>
    </row>
    <row r="364" spans="1:15">
      <c r="A364" s="117"/>
      <c r="B364" s="117"/>
      <c r="C364" s="117"/>
      <c r="D364" s="117"/>
      <c r="E364" s="63" t="str">
        <f t="shared" si="13"/>
        <v/>
      </c>
      <c r="F364" s="117"/>
      <c r="G364" s="117"/>
      <c r="H364" s="117"/>
      <c r="I364" s="117"/>
      <c r="J364" s="117"/>
      <c r="K364" s="117"/>
      <c r="L364" s="117"/>
      <c r="M364" s="117"/>
      <c r="N364" s="117"/>
      <c r="O364" s="117"/>
    </row>
    <row r="365" spans="1:15">
      <c r="A365" s="117"/>
      <c r="B365" s="117"/>
      <c r="C365" s="117"/>
      <c r="D365" s="117"/>
      <c r="E365" s="63" t="str">
        <f t="shared" si="13"/>
        <v/>
      </c>
      <c r="F365" s="117"/>
      <c r="G365" s="117"/>
      <c r="H365" s="117"/>
      <c r="I365" s="117"/>
      <c r="J365" s="117"/>
      <c r="K365" s="117"/>
      <c r="L365" s="117"/>
      <c r="M365" s="117"/>
      <c r="N365" s="117"/>
      <c r="O365" s="117"/>
    </row>
    <row r="366" spans="1:15">
      <c r="A366" s="117"/>
      <c r="B366" s="117"/>
      <c r="C366" s="117"/>
      <c r="D366" s="117"/>
      <c r="E366" s="63" t="str">
        <f t="shared" si="13"/>
        <v/>
      </c>
      <c r="F366" s="117"/>
      <c r="G366" s="117"/>
      <c r="H366" s="117"/>
      <c r="I366" s="117"/>
      <c r="J366" s="117"/>
      <c r="K366" s="117"/>
      <c r="L366" s="117"/>
      <c r="M366" s="117"/>
      <c r="N366" s="117"/>
      <c r="O366" s="117"/>
    </row>
    <row r="367" spans="1:15">
      <c r="A367" s="117"/>
      <c r="B367" s="117"/>
      <c r="C367" s="117"/>
      <c r="D367" s="117"/>
      <c r="E367" s="63" t="str">
        <f t="shared" si="13"/>
        <v/>
      </c>
      <c r="F367" s="117"/>
      <c r="G367" s="117"/>
      <c r="H367" s="117"/>
      <c r="I367" s="117"/>
      <c r="J367" s="117"/>
      <c r="K367" s="117"/>
      <c r="L367" s="117"/>
      <c r="M367" s="117"/>
      <c r="N367" s="117"/>
      <c r="O367" s="117"/>
    </row>
    <row r="368" spans="1:15">
      <c r="A368" s="117"/>
      <c r="B368" s="117"/>
      <c r="C368" s="117"/>
      <c r="D368" s="117"/>
      <c r="E368" s="63" t="str">
        <f t="shared" si="13"/>
        <v/>
      </c>
      <c r="F368" s="117"/>
      <c r="G368" s="117"/>
      <c r="H368" s="117"/>
      <c r="I368" s="117"/>
      <c r="J368" s="117"/>
      <c r="K368" s="117"/>
      <c r="L368" s="117"/>
      <c r="M368" s="117"/>
      <c r="N368" s="117"/>
      <c r="O368" s="117"/>
    </row>
    <row r="369" spans="1:15">
      <c r="A369" s="117"/>
      <c r="B369" s="117"/>
      <c r="C369" s="117"/>
      <c r="D369" s="117"/>
      <c r="E369" s="63" t="str">
        <f t="shared" si="13"/>
        <v/>
      </c>
      <c r="F369" s="117"/>
      <c r="G369" s="117"/>
      <c r="H369" s="117"/>
      <c r="I369" s="117"/>
      <c r="J369" s="117"/>
      <c r="K369" s="117"/>
      <c r="L369" s="117"/>
      <c r="M369" s="117"/>
      <c r="N369" s="117"/>
      <c r="O369" s="117"/>
    </row>
    <row r="370" spans="1:15">
      <c r="A370" s="117"/>
      <c r="B370" s="117"/>
      <c r="C370" s="117"/>
      <c r="D370" s="117"/>
      <c r="E370" s="63" t="str">
        <f t="shared" si="13"/>
        <v/>
      </c>
      <c r="F370" s="117"/>
      <c r="G370" s="117"/>
      <c r="H370" s="117"/>
      <c r="I370" s="117"/>
      <c r="J370" s="117"/>
      <c r="K370" s="117"/>
      <c r="L370" s="117"/>
      <c r="M370" s="117"/>
      <c r="N370" s="117"/>
      <c r="O370" s="117"/>
    </row>
    <row r="371" spans="1:15">
      <c r="A371" s="117"/>
      <c r="B371" s="117"/>
      <c r="C371" s="117"/>
      <c r="D371" s="117"/>
      <c r="E371" s="63" t="str">
        <f t="shared" si="13"/>
        <v/>
      </c>
      <c r="F371" s="117"/>
      <c r="G371" s="117"/>
      <c r="H371" s="117"/>
      <c r="I371" s="117"/>
      <c r="J371" s="117"/>
      <c r="K371" s="117"/>
      <c r="L371" s="117"/>
      <c r="M371" s="117"/>
      <c r="N371" s="117"/>
      <c r="O371" s="117"/>
    </row>
    <row r="372" spans="1:15">
      <c r="A372" s="117"/>
      <c r="B372" s="117"/>
      <c r="C372" s="117"/>
      <c r="D372" s="117"/>
      <c r="E372" s="63" t="str">
        <f t="shared" si="13"/>
        <v/>
      </c>
      <c r="F372" s="117"/>
      <c r="G372" s="117"/>
      <c r="H372" s="117"/>
      <c r="I372" s="117"/>
      <c r="J372" s="117"/>
      <c r="K372" s="117"/>
      <c r="L372" s="117"/>
      <c r="M372" s="117"/>
      <c r="N372" s="117"/>
      <c r="O372" s="117"/>
    </row>
    <row r="373" spans="1:15">
      <c r="A373" s="117"/>
      <c r="B373" s="117"/>
      <c r="C373" s="117"/>
      <c r="D373" s="117"/>
      <c r="E373" s="63" t="str">
        <f t="shared" si="13"/>
        <v/>
      </c>
      <c r="F373" s="117"/>
      <c r="G373" s="117"/>
      <c r="H373" s="117"/>
      <c r="I373" s="117"/>
      <c r="J373" s="117"/>
      <c r="K373" s="117"/>
      <c r="L373" s="117"/>
      <c r="M373" s="117"/>
      <c r="N373" s="117"/>
      <c r="O373" s="117"/>
    </row>
    <row r="374" spans="1:15">
      <c r="A374" s="117"/>
      <c r="B374" s="117"/>
      <c r="C374" s="117"/>
      <c r="D374" s="117"/>
      <c r="E374" s="63" t="str">
        <f t="shared" ref="E374:E385" si="14">IF(OR(C374="",D374=""),"",C374*D374)</f>
        <v/>
      </c>
      <c r="F374" s="117"/>
      <c r="G374" s="117"/>
      <c r="H374" s="117"/>
      <c r="I374" s="117"/>
      <c r="J374" s="117"/>
      <c r="K374" s="117"/>
      <c r="L374" s="117"/>
      <c r="M374" s="117"/>
      <c r="N374" s="117"/>
      <c r="O374" s="117"/>
    </row>
    <row r="375" spans="1:15">
      <c r="A375" s="117"/>
      <c r="B375" s="117"/>
      <c r="C375" s="117"/>
      <c r="D375" s="117"/>
      <c r="E375" s="63" t="str">
        <f t="shared" si="14"/>
        <v/>
      </c>
      <c r="F375" s="117"/>
      <c r="G375" s="117"/>
      <c r="H375" s="117"/>
      <c r="I375" s="117"/>
      <c r="J375" s="117"/>
      <c r="K375" s="117"/>
      <c r="L375" s="117"/>
      <c r="M375" s="117"/>
      <c r="N375" s="117"/>
      <c r="O375" s="117"/>
    </row>
    <row r="376" spans="1:15">
      <c r="A376" s="117"/>
      <c r="B376" s="117"/>
      <c r="C376" s="117"/>
      <c r="D376" s="117"/>
      <c r="E376" s="63" t="str">
        <f t="shared" si="14"/>
        <v/>
      </c>
      <c r="F376" s="117"/>
      <c r="G376" s="117"/>
      <c r="H376" s="117"/>
      <c r="I376" s="117"/>
      <c r="J376" s="117"/>
      <c r="K376" s="117"/>
      <c r="L376" s="117"/>
      <c r="M376" s="117"/>
      <c r="N376" s="117"/>
      <c r="O376" s="117"/>
    </row>
    <row r="377" spans="1:15">
      <c r="A377" s="117"/>
      <c r="B377" s="117"/>
      <c r="C377" s="117"/>
      <c r="D377" s="117"/>
      <c r="E377" s="63" t="str">
        <f t="shared" si="14"/>
        <v/>
      </c>
      <c r="F377" s="117"/>
      <c r="G377" s="117"/>
      <c r="H377" s="117"/>
      <c r="I377" s="117"/>
      <c r="J377" s="117"/>
      <c r="K377" s="117"/>
      <c r="L377" s="117"/>
      <c r="M377" s="117"/>
      <c r="N377" s="117"/>
      <c r="O377" s="117"/>
    </row>
    <row r="378" spans="1:15">
      <c r="A378" s="117"/>
      <c r="B378" s="117"/>
      <c r="C378" s="117"/>
      <c r="D378" s="117"/>
      <c r="E378" s="63" t="str">
        <f t="shared" si="14"/>
        <v/>
      </c>
      <c r="F378" s="117"/>
      <c r="G378" s="117"/>
      <c r="H378" s="117"/>
      <c r="I378" s="117"/>
      <c r="J378" s="117"/>
      <c r="K378" s="117"/>
      <c r="L378" s="117"/>
      <c r="M378" s="117"/>
      <c r="N378" s="117"/>
      <c r="O378" s="117"/>
    </row>
    <row r="379" spans="1:15">
      <c r="A379" s="117"/>
      <c r="B379" s="117"/>
      <c r="C379" s="117"/>
      <c r="D379" s="117"/>
      <c r="E379" s="63" t="str">
        <f t="shared" si="14"/>
        <v/>
      </c>
      <c r="F379" s="117"/>
      <c r="G379" s="117"/>
      <c r="H379" s="117"/>
      <c r="I379" s="117"/>
      <c r="J379" s="117"/>
      <c r="K379" s="117"/>
      <c r="L379" s="117"/>
      <c r="M379" s="117"/>
      <c r="N379" s="117"/>
      <c r="O379" s="117"/>
    </row>
    <row r="380" spans="1:15">
      <c r="A380" s="117"/>
      <c r="B380" s="117"/>
      <c r="C380" s="117"/>
      <c r="D380" s="117"/>
      <c r="E380" s="63" t="str">
        <f t="shared" si="14"/>
        <v/>
      </c>
      <c r="F380" s="117"/>
      <c r="G380" s="117"/>
      <c r="H380" s="117"/>
      <c r="I380" s="117"/>
      <c r="J380" s="117"/>
      <c r="K380" s="117"/>
      <c r="L380" s="117"/>
      <c r="M380" s="117"/>
      <c r="N380" s="117"/>
      <c r="O380" s="117"/>
    </row>
    <row r="381" spans="1:15">
      <c r="A381" s="117"/>
      <c r="B381" s="117"/>
      <c r="C381" s="117"/>
      <c r="D381" s="117"/>
      <c r="E381" s="63" t="str">
        <f t="shared" si="14"/>
        <v/>
      </c>
      <c r="F381" s="117"/>
      <c r="G381" s="117"/>
      <c r="H381" s="117"/>
      <c r="I381" s="117"/>
      <c r="J381" s="117"/>
      <c r="K381" s="117"/>
      <c r="L381" s="117"/>
      <c r="M381" s="117"/>
      <c r="N381" s="117"/>
      <c r="O381" s="117"/>
    </row>
    <row r="382" spans="1:15">
      <c r="A382" s="117"/>
      <c r="B382" s="117"/>
      <c r="C382" s="117"/>
      <c r="D382" s="117"/>
      <c r="E382" s="63" t="str">
        <f t="shared" si="14"/>
        <v/>
      </c>
      <c r="F382" s="117"/>
      <c r="G382" s="117"/>
      <c r="H382" s="117"/>
      <c r="I382" s="117"/>
      <c r="J382" s="117"/>
      <c r="K382" s="117"/>
      <c r="L382" s="117"/>
      <c r="M382" s="117"/>
      <c r="N382" s="117"/>
      <c r="O382" s="117"/>
    </row>
    <row r="383" spans="1:15">
      <c r="A383" s="117"/>
      <c r="B383" s="117"/>
      <c r="C383" s="117"/>
      <c r="D383" s="117"/>
      <c r="E383" s="63" t="str">
        <f t="shared" si="14"/>
        <v/>
      </c>
      <c r="F383" s="117"/>
      <c r="G383" s="117"/>
      <c r="H383" s="117"/>
      <c r="I383" s="117"/>
      <c r="J383" s="117"/>
      <c r="K383" s="117"/>
      <c r="L383" s="117"/>
      <c r="M383" s="117"/>
      <c r="N383" s="117"/>
      <c r="O383" s="117"/>
    </row>
    <row r="384" spans="1:15">
      <c r="A384" s="117"/>
      <c r="B384" s="117"/>
      <c r="C384" s="117"/>
      <c r="D384" s="117"/>
      <c r="E384" s="63" t="str">
        <f t="shared" si="14"/>
        <v/>
      </c>
      <c r="F384" s="117"/>
      <c r="G384" s="117"/>
      <c r="H384" s="117"/>
      <c r="I384" s="117"/>
      <c r="J384" s="117"/>
      <c r="K384" s="117"/>
      <c r="L384" s="117"/>
      <c r="M384" s="117"/>
      <c r="N384" s="117"/>
      <c r="O384" s="117"/>
    </row>
    <row r="385" spans="1:15">
      <c r="A385" s="117"/>
      <c r="B385" s="117"/>
      <c r="C385" s="117"/>
      <c r="D385" s="117"/>
      <c r="E385" s="63" t="str">
        <f t="shared" si="14"/>
        <v/>
      </c>
      <c r="F385" s="117"/>
      <c r="G385" s="117"/>
      <c r="H385" s="117"/>
      <c r="I385" s="117"/>
      <c r="J385" s="117"/>
      <c r="K385" s="117"/>
      <c r="L385" s="117"/>
      <c r="M385" s="117"/>
      <c r="N385" s="117"/>
      <c r="O385" s="117"/>
    </row>
    <row r="386" spans="1:15">
      <c r="A386" s="117"/>
      <c r="B386" s="117"/>
      <c r="C386" s="117"/>
      <c r="D386" s="117"/>
      <c r="E386" s="117"/>
      <c r="F386" s="117"/>
      <c r="G386" s="117"/>
      <c r="H386" s="117"/>
      <c r="I386" s="117"/>
      <c r="J386" s="117"/>
      <c r="K386" s="117"/>
      <c r="L386" s="117"/>
      <c r="M386" s="117"/>
      <c r="N386" s="117"/>
      <c r="O386" s="117"/>
    </row>
    <row r="387" spans="1:15">
      <c r="A387" s="117"/>
      <c r="B387" s="117"/>
      <c r="C387" s="117"/>
      <c r="D387" s="117"/>
      <c r="E387" s="117"/>
      <c r="F387" s="117"/>
      <c r="G387" s="117"/>
      <c r="H387" s="117"/>
      <c r="I387" s="117"/>
      <c r="J387" s="117"/>
      <c r="K387" s="117"/>
      <c r="L387" s="117"/>
      <c r="M387" s="117"/>
      <c r="N387" s="117"/>
      <c r="O387" s="117"/>
    </row>
    <row r="388" spans="1:15">
      <c r="A388" s="117"/>
      <c r="B388" s="117"/>
      <c r="C388" s="117"/>
      <c r="D388" s="117"/>
      <c r="E388" s="117"/>
      <c r="F388" s="117"/>
      <c r="G388" s="117"/>
      <c r="H388" s="117"/>
      <c r="I388" s="117"/>
      <c r="J388" s="117"/>
      <c r="K388" s="117"/>
      <c r="L388" s="117"/>
      <c r="M388" s="117"/>
      <c r="N388" s="117"/>
      <c r="O388" s="117"/>
    </row>
    <row r="389" spans="1:15">
      <c r="A389" s="117"/>
      <c r="B389" s="117"/>
      <c r="C389" s="117"/>
      <c r="D389" s="117"/>
      <c r="E389" s="117"/>
      <c r="F389" s="117"/>
      <c r="G389" s="117"/>
      <c r="H389" s="117"/>
      <c r="I389" s="117"/>
      <c r="J389" s="117"/>
      <c r="K389" s="117"/>
      <c r="L389" s="117"/>
      <c r="M389" s="117"/>
      <c r="N389" s="117"/>
      <c r="O389" s="117"/>
    </row>
    <row r="390" spans="1:15">
      <c r="A390" s="117"/>
      <c r="B390" s="117"/>
      <c r="C390" s="117"/>
      <c r="D390" s="117"/>
      <c r="E390" s="117"/>
      <c r="F390" s="117"/>
      <c r="G390" s="117"/>
      <c r="H390" s="117"/>
      <c r="I390" s="117"/>
      <c r="J390" s="117"/>
      <c r="K390" s="117"/>
      <c r="L390" s="117"/>
      <c r="M390" s="117"/>
      <c r="N390" s="117"/>
      <c r="O390" s="117"/>
    </row>
    <row r="391" spans="1:15">
      <c r="A391" s="117"/>
      <c r="B391" s="117"/>
      <c r="C391" s="117"/>
      <c r="D391" s="117"/>
      <c r="E391" s="117"/>
      <c r="F391" s="117"/>
      <c r="G391" s="117"/>
      <c r="H391" s="117"/>
      <c r="I391" s="117"/>
      <c r="J391" s="117"/>
      <c r="K391" s="117"/>
      <c r="L391" s="117"/>
      <c r="M391" s="117"/>
      <c r="N391" s="117"/>
      <c r="O391" s="117"/>
    </row>
    <row r="392" spans="1:15">
      <c r="A392" s="117"/>
      <c r="B392" s="117"/>
      <c r="C392" s="117"/>
      <c r="D392" s="117"/>
      <c r="E392" s="117"/>
      <c r="F392" s="117"/>
      <c r="G392" s="117"/>
      <c r="H392" s="117"/>
      <c r="I392" s="117"/>
      <c r="J392" s="117"/>
      <c r="K392" s="117"/>
      <c r="L392" s="117"/>
      <c r="M392" s="117"/>
      <c r="N392" s="117"/>
      <c r="O392" s="117"/>
    </row>
    <row r="393" spans="1:15">
      <c r="A393" s="117"/>
      <c r="B393" s="117"/>
      <c r="C393" s="117"/>
      <c r="D393" s="117"/>
      <c r="E393" s="117"/>
      <c r="F393" s="117"/>
      <c r="G393" s="117"/>
      <c r="H393" s="117"/>
      <c r="I393" s="117"/>
      <c r="J393" s="117"/>
      <c r="K393" s="117"/>
      <c r="L393" s="117"/>
      <c r="M393" s="117"/>
      <c r="N393" s="117"/>
      <c r="O393" s="117"/>
    </row>
  </sheetData>
  <autoFilter ref="A6:O6" xr:uid="{00000000-0001-0000-0900-000000000000}"/>
  <dataValidations count="7">
    <dataValidation type="list" allowBlank="1" errorTitle="Fora da lista" error="Escolha um item da lista. Para incluir outro, use a aba PARAMETROS." promptTitle="Instituição" prompt="Clique na seta e escolha." sqref="H12:I12 H7:H11 H13:H277" xr:uid="{00000000-0002-0000-0900-000002000000}">
      <formula1>ListaParceiros</formula1>
    </dataValidation>
    <dataValidation type="list" allowBlank="1" errorTitle="Fora da lista" error="Escolha um item da lista. Para incluir outro, use a aba PARAMETROS." promptTitle="Status" prompt="Clique na seta e escolha." sqref="L7:L277" xr:uid="{00000000-0002-0000-0900-000005000000}">
      <formula1>ListaStatus</formula1>
    </dataValidation>
    <dataValidation type="list" allowBlank="1" errorTitle="Fora da lista" error="Escolha um item da lista. Para incluir outro, use a aba PARAMETROS." promptTitle="Operação" prompt="Clique na seta e escolha." sqref="B7:B277" xr:uid="{00000000-0002-0000-0900-000000000000}">
      <formula1>ListaOperacoes</formula1>
    </dataValidation>
    <dataValidation type="list" allowBlank="1" errorTitle="Fora da lista" error="Escolha um item da lista. Para incluir outro, use a aba PARAMETROS." promptTitle="Fluxo" prompt="Clique na seta e escolha." sqref="K7:K277" xr:uid="{00000000-0002-0000-0900-000004000000}">
      <formula1>ListaFluxo</formula1>
    </dataValidation>
    <dataValidation type="list" allowBlank="1" errorTitle="Fora da lista" error="Escolha um item da lista. Para incluir outro, use a aba PARAMETROS." promptTitle="Motivo De Recusa" prompt="Clique na seta e escolha." sqref="N7:N277" xr:uid="{00000000-0002-0000-0900-000006000000}">
      <formula1>ListaMotivos</formula1>
    </dataValidation>
    <dataValidation type="list" allowBlank="1" errorTitle="Fora da lista" error="Escolha um item da lista. Para incluir outro, use a aba PARAMETROS." promptTitle="Mandato" prompt="Clique na seta e escolha." sqref="F7:F277" xr:uid="{00000000-0002-0000-0900-000001000000}">
      <formula1>ListaMandato</formula1>
    </dataValidation>
    <dataValidation type="list" allowBlank="1" errorTitle="Fora da lista" error="Escolha um item da lista. Para incluir outro, use a aba PARAMETROS." promptTitle="Parceiro Indicador" prompt="Clique na seta e escolha." sqref="I7:I277" xr:uid="{00000000-0002-0000-0900-000003000000}">
      <formula1>ListaIndicadores</formula1>
    </dataValidation>
  </dataValidation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380"/>
  <sheetViews>
    <sheetView showGridLines="0" tabSelected="1" workbookViewId="0">
      <pane ySplit="6" topLeftCell="F12" activePane="bottomLeft" state="frozen"/>
      <selection pane="bottomLeft" activeCell="O17" sqref="O17"/>
    </sheetView>
  </sheetViews>
  <sheetFormatPr defaultRowHeight="14.45"/>
  <cols>
    <col min="1" max="1" width="51.5703125" customWidth="1"/>
    <col min="2" max="2" width="26" customWidth="1"/>
    <col min="3" max="3" width="16" customWidth="1"/>
    <col min="4" max="4" width="9" customWidth="1"/>
    <col min="5" max="6" width="15" customWidth="1"/>
    <col min="7" max="7" width="7" customWidth="1"/>
    <col min="8" max="8" width="27" customWidth="1"/>
    <col min="9" max="9" width="19" customWidth="1"/>
    <col min="10" max="10" width="14.140625" customWidth="1"/>
    <col min="11" max="11" width="18" customWidth="1"/>
    <col min="12" max="12" width="21" customWidth="1"/>
    <col min="13" max="13" width="20.28515625" customWidth="1"/>
    <col min="14" max="14" width="32" customWidth="1"/>
    <col min="15" max="15" width="42" customWidth="1"/>
  </cols>
  <sheetData>
    <row r="1" spans="1:15">
      <c r="A1" s="64"/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</row>
    <row r="2" spans="1:15">
      <c r="A2" s="64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</row>
    <row r="3" spans="1:15" ht="24" customHeight="1">
      <c r="A3" s="65"/>
      <c r="B3" s="68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</row>
    <row r="4" spans="1:15" ht="14.1" customHeight="1">
      <c r="A4" s="66"/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</row>
    <row r="5" spans="1:15">
      <c r="A5" s="64"/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</row>
    <row r="6" spans="1:15" ht="27.95" customHeight="1">
      <c r="A6" s="67" t="s">
        <v>0</v>
      </c>
      <c r="B6" s="67" t="s">
        <v>1</v>
      </c>
      <c r="C6" s="67" t="s">
        <v>2</v>
      </c>
      <c r="D6" s="67" t="s">
        <v>3</v>
      </c>
      <c r="E6" s="67" t="s">
        <v>4</v>
      </c>
      <c r="F6" s="67" t="s">
        <v>5</v>
      </c>
      <c r="G6" s="67" t="s">
        <v>6</v>
      </c>
      <c r="H6" s="67" t="s">
        <v>7</v>
      </c>
      <c r="I6" s="67" t="s">
        <v>8</v>
      </c>
      <c r="J6" s="67" t="s">
        <v>9</v>
      </c>
      <c r="K6" s="67" t="s">
        <v>10</v>
      </c>
      <c r="L6" s="67" t="s">
        <v>11</v>
      </c>
      <c r="M6" s="67" t="s">
        <v>12</v>
      </c>
      <c r="N6" s="67" t="s">
        <v>13</v>
      </c>
      <c r="O6" s="67" t="s">
        <v>14</v>
      </c>
    </row>
    <row r="7" spans="1:15">
      <c r="A7" s="50" t="s">
        <v>65</v>
      </c>
      <c r="B7" s="50" t="s">
        <v>29</v>
      </c>
      <c r="C7" s="51">
        <v>700000</v>
      </c>
      <c r="D7" s="52">
        <v>1.4999999999999999E-2</v>
      </c>
      <c r="E7" s="46">
        <f t="shared" ref="E7:E42" si="0">D7*C7</f>
        <v>10500</v>
      </c>
      <c r="F7" s="50" t="s">
        <v>66</v>
      </c>
      <c r="G7" s="53">
        <v>1</v>
      </c>
      <c r="H7" s="50" t="s">
        <v>30</v>
      </c>
      <c r="I7" s="50" t="s">
        <v>19</v>
      </c>
      <c r="J7" s="54">
        <v>46287</v>
      </c>
      <c r="K7" s="50" t="s">
        <v>66</v>
      </c>
      <c r="L7" s="50" t="s">
        <v>21</v>
      </c>
      <c r="M7" s="54"/>
      <c r="N7" s="50"/>
      <c r="O7" s="50" t="s">
        <v>67</v>
      </c>
    </row>
    <row r="8" spans="1:15">
      <c r="A8" s="45" t="s">
        <v>65</v>
      </c>
      <c r="B8" s="45" t="s">
        <v>29</v>
      </c>
      <c r="C8" s="46">
        <v>5000000</v>
      </c>
      <c r="D8" s="47">
        <v>1.4999999999999999E-2</v>
      </c>
      <c r="E8" s="46">
        <f>D8*C8</f>
        <v>75000</v>
      </c>
      <c r="F8" s="45" t="s">
        <v>66</v>
      </c>
      <c r="G8" s="48">
        <v>1</v>
      </c>
      <c r="H8" s="45" t="s">
        <v>18</v>
      </c>
      <c r="I8" s="45" t="s">
        <v>19</v>
      </c>
      <c r="J8" s="49">
        <v>46287</v>
      </c>
      <c r="K8" s="45" t="s">
        <v>66</v>
      </c>
      <c r="L8" s="45" t="s">
        <v>21</v>
      </c>
      <c r="M8" s="49"/>
      <c r="N8" s="45"/>
      <c r="O8" s="45" t="s">
        <v>68</v>
      </c>
    </row>
    <row r="9" spans="1:15" ht="15">
      <c r="A9" s="45" t="s">
        <v>65</v>
      </c>
      <c r="B9" s="45" t="s">
        <v>16</v>
      </c>
      <c r="C9" s="46">
        <v>5000000</v>
      </c>
      <c r="D9" s="47">
        <v>1.4999999999999999E-2</v>
      </c>
      <c r="E9" s="46">
        <f t="shared" si="0"/>
        <v>75000</v>
      </c>
      <c r="F9" s="45" t="s">
        <v>66</v>
      </c>
      <c r="G9" s="48">
        <v>1</v>
      </c>
      <c r="H9" s="45" t="s">
        <v>23</v>
      </c>
      <c r="I9" s="45" t="s">
        <v>19</v>
      </c>
      <c r="J9" s="49">
        <v>46287</v>
      </c>
      <c r="K9" s="45" t="s">
        <v>66</v>
      </c>
      <c r="L9" s="45" t="s">
        <v>32</v>
      </c>
      <c r="M9" s="49"/>
      <c r="N9" s="45"/>
      <c r="O9" s="45" t="s">
        <v>69</v>
      </c>
    </row>
    <row r="10" spans="1:15" ht="15">
      <c r="A10" s="50" t="s">
        <v>70</v>
      </c>
      <c r="B10" s="50" t="s">
        <v>16</v>
      </c>
      <c r="C10" s="51">
        <v>300000</v>
      </c>
      <c r="D10" s="52">
        <v>0.03</v>
      </c>
      <c r="E10" s="46">
        <f t="shared" si="0"/>
        <v>9000</v>
      </c>
      <c r="F10" s="50" t="s">
        <v>17</v>
      </c>
      <c r="G10" s="53">
        <v>1</v>
      </c>
      <c r="H10" s="50" t="s">
        <v>30</v>
      </c>
      <c r="I10" s="50" t="s">
        <v>19</v>
      </c>
      <c r="J10" s="54">
        <v>46287</v>
      </c>
      <c r="K10" s="50" t="s">
        <v>66</v>
      </c>
      <c r="L10" s="50" t="s">
        <v>71</v>
      </c>
      <c r="M10" s="54"/>
      <c r="N10" s="50"/>
      <c r="O10" s="50" t="s">
        <v>72</v>
      </c>
    </row>
    <row r="11" spans="1:15" ht="15">
      <c r="A11" s="50" t="s">
        <v>70</v>
      </c>
      <c r="B11" s="50" t="s">
        <v>29</v>
      </c>
      <c r="C11" s="51">
        <v>300000</v>
      </c>
      <c r="D11" s="52">
        <v>0.03</v>
      </c>
      <c r="E11" s="46">
        <f t="shared" si="0"/>
        <v>9000</v>
      </c>
      <c r="F11" s="50" t="s">
        <v>17</v>
      </c>
      <c r="G11" s="53">
        <v>1</v>
      </c>
      <c r="H11" s="50" t="s">
        <v>18</v>
      </c>
      <c r="I11" s="50" t="s">
        <v>19</v>
      </c>
      <c r="J11" s="54">
        <v>46287</v>
      </c>
      <c r="K11" s="50" t="s">
        <v>66</v>
      </c>
      <c r="L11" s="50" t="s">
        <v>32</v>
      </c>
      <c r="M11" s="54"/>
      <c r="N11" s="50"/>
      <c r="O11" s="50" t="s">
        <v>73</v>
      </c>
    </row>
    <row r="12" spans="1:15" s="117" customFormat="1" ht="15">
      <c r="A12" s="45" t="s">
        <v>74</v>
      </c>
      <c r="B12" s="45" t="s">
        <v>29</v>
      </c>
      <c r="C12" s="46">
        <v>1500000</v>
      </c>
      <c r="D12" s="47">
        <v>0.03</v>
      </c>
      <c r="E12" s="46">
        <f>D12*C12</f>
        <v>45000</v>
      </c>
      <c r="F12" s="45" t="s">
        <v>17</v>
      </c>
      <c r="G12" s="48">
        <v>1</v>
      </c>
      <c r="H12" s="45" t="s">
        <v>18</v>
      </c>
      <c r="I12" s="45" t="s">
        <v>19</v>
      </c>
      <c r="J12" s="49">
        <v>46287</v>
      </c>
      <c r="K12" s="45" t="s">
        <v>66</v>
      </c>
      <c r="L12" s="45" t="s">
        <v>21</v>
      </c>
      <c r="M12" s="49"/>
      <c r="N12" s="45"/>
      <c r="O12" s="45" t="s">
        <v>75</v>
      </c>
    </row>
    <row r="13" spans="1:15" ht="15">
      <c r="A13" s="45" t="s">
        <v>74</v>
      </c>
      <c r="B13" s="45" t="s">
        <v>29</v>
      </c>
      <c r="C13" s="46">
        <v>1500000</v>
      </c>
      <c r="D13" s="47">
        <v>0.03</v>
      </c>
      <c r="E13" s="46">
        <f t="shared" si="0"/>
        <v>45000</v>
      </c>
      <c r="F13" s="45" t="s">
        <v>17</v>
      </c>
      <c r="G13" s="48">
        <v>1</v>
      </c>
      <c r="H13" s="45" t="s">
        <v>23</v>
      </c>
      <c r="I13" s="45" t="s">
        <v>19</v>
      </c>
      <c r="J13" s="49">
        <v>46288</v>
      </c>
      <c r="K13" s="45" t="s">
        <v>66</v>
      </c>
      <c r="L13" s="45" t="s">
        <v>32</v>
      </c>
      <c r="M13" s="49"/>
      <c r="N13" s="45"/>
      <c r="O13" s="45" t="s">
        <v>76</v>
      </c>
    </row>
    <row r="14" spans="1:15" ht="15">
      <c r="A14" s="50" t="s">
        <v>77</v>
      </c>
      <c r="B14" s="50" t="s">
        <v>16</v>
      </c>
      <c r="C14" s="51">
        <v>777242</v>
      </c>
      <c r="D14" s="52">
        <v>2.5000000000000001E-2</v>
      </c>
      <c r="E14" s="46">
        <f t="shared" si="0"/>
        <v>19431.05</v>
      </c>
      <c r="F14" s="50" t="s">
        <v>17</v>
      </c>
      <c r="G14" s="53">
        <v>1</v>
      </c>
      <c r="H14" s="50" t="s">
        <v>44</v>
      </c>
      <c r="I14" s="50" t="s">
        <v>19</v>
      </c>
      <c r="J14" s="54">
        <v>46287</v>
      </c>
      <c r="K14" s="50" t="s">
        <v>66</v>
      </c>
      <c r="L14" s="50" t="s">
        <v>36</v>
      </c>
      <c r="M14" s="54"/>
      <c r="N14" s="50"/>
      <c r="O14" s="50" t="s">
        <v>78</v>
      </c>
    </row>
    <row r="15" spans="1:15" ht="15">
      <c r="A15" s="50" t="s">
        <v>79</v>
      </c>
      <c r="B15" s="50" t="s">
        <v>16</v>
      </c>
      <c r="C15" s="51">
        <v>1000000</v>
      </c>
      <c r="D15" s="52">
        <v>0.05</v>
      </c>
      <c r="E15" s="46">
        <f>D15*C15</f>
        <v>50000</v>
      </c>
      <c r="F15" s="50" t="s">
        <v>17</v>
      </c>
      <c r="G15" s="53">
        <v>1</v>
      </c>
      <c r="H15" s="50" t="s">
        <v>18</v>
      </c>
      <c r="I15" s="50" t="s">
        <v>19</v>
      </c>
      <c r="J15" s="54">
        <v>46287</v>
      </c>
      <c r="K15" s="50" t="s">
        <v>66</v>
      </c>
      <c r="L15" s="50" t="s">
        <v>71</v>
      </c>
      <c r="M15" s="54"/>
      <c r="N15" s="50"/>
      <c r="O15" s="50" t="s">
        <v>80</v>
      </c>
    </row>
    <row r="16" spans="1:15" ht="15">
      <c r="A16" s="45" t="s">
        <v>81</v>
      </c>
      <c r="B16" s="45" t="s">
        <v>29</v>
      </c>
      <c r="C16" s="46">
        <v>20000000</v>
      </c>
      <c r="D16" s="47">
        <v>0.01</v>
      </c>
      <c r="E16" s="46">
        <f t="shared" ref="E16" si="1">D16*C16</f>
        <v>200000</v>
      </c>
      <c r="F16" s="45" t="s">
        <v>17</v>
      </c>
      <c r="G16" s="48">
        <v>1</v>
      </c>
      <c r="H16" s="45" t="s">
        <v>18</v>
      </c>
      <c r="I16" s="45" t="s">
        <v>19</v>
      </c>
      <c r="J16" s="49">
        <v>46288</v>
      </c>
      <c r="K16" s="45" t="s">
        <v>66</v>
      </c>
      <c r="L16" s="45" t="s">
        <v>32</v>
      </c>
      <c r="M16" s="49"/>
      <c r="N16" s="45"/>
      <c r="O16" s="45" t="s">
        <v>82</v>
      </c>
    </row>
    <row r="17" spans="1:15" ht="15">
      <c r="A17" s="45" t="s">
        <v>81</v>
      </c>
      <c r="B17" s="45" t="s">
        <v>83</v>
      </c>
      <c r="C17" s="46">
        <v>4500000</v>
      </c>
      <c r="D17" s="47">
        <v>0.01</v>
      </c>
      <c r="E17" s="46">
        <f t="shared" si="0"/>
        <v>45000</v>
      </c>
      <c r="F17" s="45" t="s">
        <v>17</v>
      </c>
      <c r="G17" s="48">
        <v>1</v>
      </c>
      <c r="H17" s="45" t="s">
        <v>84</v>
      </c>
      <c r="I17" s="45" t="s">
        <v>19</v>
      </c>
      <c r="J17" s="49">
        <v>46287</v>
      </c>
      <c r="K17" s="45" t="s">
        <v>66</v>
      </c>
      <c r="L17" s="45" t="s">
        <v>21</v>
      </c>
      <c r="M17" s="49"/>
      <c r="N17" s="45"/>
      <c r="O17" s="45" t="s">
        <v>85</v>
      </c>
    </row>
    <row r="18" spans="1:15" ht="15">
      <c r="A18" s="50" t="s">
        <v>86</v>
      </c>
      <c r="B18" s="50" t="s">
        <v>83</v>
      </c>
      <c r="C18" s="51">
        <v>9000000</v>
      </c>
      <c r="D18" s="52">
        <v>0.01</v>
      </c>
      <c r="E18" s="46">
        <f>D18*C18</f>
        <v>90000</v>
      </c>
      <c r="F18" s="50" t="s">
        <v>66</v>
      </c>
      <c r="G18" s="53">
        <v>1</v>
      </c>
      <c r="H18" s="50" t="s">
        <v>18</v>
      </c>
      <c r="I18" s="50" t="s">
        <v>27</v>
      </c>
      <c r="J18" s="54">
        <v>46287</v>
      </c>
      <c r="K18" s="50" t="s">
        <v>66</v>
      </c>
      <c r="L18" s="50" t="s">
        <v>32</v>
      </c>
      <c r="M18" s="54"/>
      <c r="N18" s="50"/>
      <c r="O18" s="50" t="s">
        <v>87</v>
      </c>
    </row>
    <row r="19" spans="1:15" ht="15">
      <c r="A19" s="45" t="s">
        <v>88</v>
      </c>
      <c r="B19" s="45" t="s">
        <v>83</v>
      </c>
      <c r="C19" s="46">
        <v>2000000</v>
      </c>
      <c r="D19" s="47">
        <v>0.01</v>
      </c>
      <c r="E19" s="46">
        <f t="shared" ref="E19" si="2">D19*C19</f>
        <v>20000</v>
      </c>
      <c r="F19" s="45" t="s">
        <v>66</v>
      </c>
      <c r="G19" s="48">
        <v>1</v>
      </c>
      <c r="H19" s="45" t="s">
        <v>84</v>
      </c>
      <c r="I19" s="45" t="s">
        <v>27</v>
      </c>
      <c r="J19" s="49">
        <v>46287</v>
      </c>
      <c r="K19" s="45" t="s">
        <v>66</v>
      </c>
      <c r="L19" s="45" t="s">
        <v>32</v>
      </c>
      <c r="M19" s="49"/>
      <c r="N19" s="45"/>
      <c r="O19" s="45" t="s">
        <v>89</v>
      </c>
    </row>
    <row r="20" spans="1:15" ht="15">
      <c r="A20" s="45" t="s">
        <v>88</v>
      </c>
      <c r="B20" s="45" t="s">
        <v>83</v>
      </c>
      <c r="C20" s="46">
        <v>4500000</v>
      </c>
      <c r="D20" s="47">
        <v>0.01</v>
      </c>
      <c r="E20" s="46">
        <f t="shared" si="0"/>
        <v>45000</v>
      </c>
      <c r="F20" s="45" t="s">
        <v>66</v>
      </c>
      <c r="G20" s="48">
        <v>1</v>
      </c>
      <c r="H20" s="45" t="s">
        <v>84</v>
      </c>
      <c r="I20" s="45" t="s">
        <v>27</v>
      </c>
      <c r="J20" s="49">
        <v>46287</v>
      </c>
      <c r="K20" s="45" t="s">
        <v>66</v>
      </c>
      <c r="L20" s="45" t="s">
        <v>90</v>
      </c>
      <c r="M20" s="49"/>
      <c r="N20" s="45"/>
      <c r="O20" s="45" t="s">
        <v>91</v>
      </c>
    </row>
    <row r="21" spans="1:15" ht="15">
      <c r="A21" s="50" t="s">
        <v>92</v>
      </c>
      <c r="B21" s="50" t="s">
        <v>83</v>
      </c>
      <c r="C21" s="51">
        <v>4500000</v>
      </c>
      <c r="D21" s="52">
        <v>1.4999999999999999E-2</v>
      </c>
      <c r="E21" s="46">
        <f t="shared" si="0"/>
        <v>67500</v>
      </c>
      <c r="F21" s="50" t="s">
        <v>66</v>
      </c>
      <c r="G21" s="53">
        <v>1</v>
      </c>
      <c r="H21" s="50" t="s">
        <v>84</v>
      </c>
      <c r="I21" s="50" t="s">
        <v>27</v>
      </c>
      <c r="J21" s="54">
        <v>46287</v>
      </c>
      <c r="K21" s="50" t="s">
        <v>66</v>
      </c>
      <c r="L21" s="50" t="s">
        <v>21</v>
      </c>
      <c r="M21" s="54"/>
      <c r="N21" s="50"/>
      <c r="O21" s="50" t="s">
        <v>93</v>
      </c>
    </row>
    <row r="22" spans="1:15" ht="15">
      <c r="A22" s="50" t="s">
        <v>94</v>
      </c>
      <c r="B22" s="50" t="s">
        <v>16</v>
      </c>
      <c r="C22" s="51">
        <v>500000</v>
      </c>
      <c r="D22" s="52">
        <v>0.02</v>
      </c>
      <c r="E22" s="46">
        <f t="shared" si="0"/>
        <v>10000</v>
      </c>
      <c r="F22" s="50" t="s">
        <v>66</v>
      </c>
      <c r="G22" s="53">
        <v>1</v>
      </c>
      <c r="H22" s="50" t="s">
        <v>44</v>
      </c>
      <c r="I22" s="50" t="s">
        <v>19</v>
      </c>
      <c r="J22" s="54">
        <v>46279</v>
      </c>
      <c r="K22" s="50" t="s">
        <v>66</v>
      </c>
      <c r="L22" s="50" t="s">
        <v>32</v>
      </c>
      <c r="M22" s="54"/>
      <c r="N22" s="50"/>
      <c r="O22" s="45" t="s">
        <v>95</v>
      </c>
    </row>
    <row r="23" spans="1:15" ht="15">
      <c r="A23" s="45" t="s">
        <v>94</v>
      </c>
      <c r="B23" s="45" t="s">
        <v>16</v>
      </c>
      <c r="C23" s="46">
        <v>500000</v>
      </c>
      <c r="D23" s="47">
        <v>0.02</v>
      </c>
      <c r="E23" s="46">
        <f t="shared" si="0"/>
        <v>10000</v>
      </c>
      <c r="F23" s="45" t="s">
        <v>66</v>
      </c>
      <c r="G23" s="48">
        <v>1</v>
      </c>
      <c r="H23" s="45" t="s">
        <v>96</v>
      </c>
      <c r="I23" s="45" t="s">
        <v>19</v>
      </c>
      <c r="J23" s="49">
        <v>46279</v>
      </c>
      <c r="K23" s="45" t="s">
        <v>66</v>
      </c>
      <c r="L23" s="45" t="s">
        <v>32</v>
      </c>
      <c r="M23" s="49"/>
      <c r="N23" s="45"/>
      <c r="O23" s="45" t="s">
        <v>95</v>
      </c>
    </row>
    <row r="24" spans="1:15" ht="15">
      <c r="A24" s="50" t="s">
        <v>97</v>
      </c>
      <c r="B24" s="50" t="s">
        <v>16</v>
      </c>
      <c r="C24" s="51">
        <v>5000000</v>
      </c>
      <c r="D24" s="52">
        <v>0.03</v>
      </c>
      <c r="E24" s="46">
        <f t="shared" si="0"/>
        <v>150000</v>
      </c>
      <c r="F24" s="50" t="s">
        <v>26</v>
      </c>
      <c r="G24" s="53">
        <v>1</v>
      </c>
      <c r="H24" s="50" t="s">
        <v>44</v>
      </c>
      <c r="I24" s="50" t="s">
        <v>19</v>
      </c>
      <c r="J24" s="54">
        <v>46287</v>
      </c>
      <c r="K24" s="50" t="s">
        <v>26</v>
      </c>
      <c r="L24" s="50" t="s">
        <v>32</v>
      </c>
      <c r="M24" s="54"/>
      <c r="N24" s="50"/>
      <c r="O24" s="50" t="s">
        <v>98</v>
      </c>
    </row>
    <row r="25" spans="1:15" ht="15">
      <c r="A25" s="45" t="s">
        <v>97</v>
      </c>
      <c r="B25" s="45" t="s">
        <v>16</v>
      </c>
      <c r="C25" s="46">
        <v>5000000</v>
      </c>
      <c r="D25" s="47">
        <v>0.03</v>
      </c>
      <c r="E25" s="46">
        <f t="shared" si="0"/>
        <v>150000</v>
      </c>
      <c r="F25" s="45" t="s">
        <v>26</v>
      </c>
      <c r="G25" s="48">
        <v>1</v>
      </c>
      <c r="H25" s="45" t="s">
        <v>99</v>
      </c>
      <c r="I25" s="45" t="s">
        <v>19</v>
      </c>
      <c r="J25" s="49">
        <v>46287</v>
      </c>
      <c r="K25" s="45" t="s">
        <v>26</v>
      </c>
      <c r="L25" s="45" t="s">
        <v>32</v>
      </c>
      <c r="M25" s="49"/>
      <c r="N25" s="45"/>
      <c r="O25" s="45" t="s">
        <v>98</v>
      </c>
    </row>
    <row r="26" spans="1:15" ht="15">
      <c r="A26" s="50" t="s">
        <v>97</v>
      </c>
      <c r="B26" s="50" t="s">
        <v>16</v>
      </c>
      <c r="C26" s="51">
        <v>5000000</v>
      </c>
      <c r="D26" s="52">
        <v>0.03</v>
      </c>
      <c r="E26" s="46">
        <f t="shared" si="0"/>
        <v>150000</v>
      </c>
      <c r="F26" s="50" t="s">
        <v>26</v>
      </c>
      <c r="G26" s="53">
        <v>1</v>
      </c>
      <c r="H26" s="50" t="s">
        <v>96</v>
      </c>
      <c r="I26" s="50" t="s">
        <v>19</v>
      </c>
      <c r="J26" s="54">
        <v>46287</v>
      </c>
      <c r="K26" s="50" t="s">
        <v>26</v>
      </c>
      <c r="L26" s="50" t="s">
        <v>32</v>
      </c>
      <c r="M26" s="54"/>
      <c r="N26" s="50"/>
      <c r="O26" s="50" t="s">
        <v>98</v>
      </c>
    </row>
    <row r="27" spans="1:15" ht="15">
      <c r="A27" s="45" t="s">
        <v>97</v>
      </c>
      <c r="B27" s="45" t="s">
        <v>16</v>
      </c>
      <c r="C27" s="46">
        <v>5000000</v>
      </c>
      <c r="D27" s="47">
        <v>0.03</v>
      </c>
      <c r="E27" s="46">
        <f t="shared" si="0"/>
        <v>150000</v>
      </c>
      <c r="F27" s="45" t="s">
        <v>26</v>
      </c>
      <c r="G27" s="48">
        <v>1</v>
      </c>
      <c r="H27" s="45" t="s">
        <v>23</v>
      </c>
      <c r="I27" s="45" t="s">
        <v>19</v>
      </c>
      <c r="J27" s="49">
        <v>46287</v>
      </c>
      <c r="K27" s="45" t="s">
        <v>26</v>
      </c>
      <c r="L27" s="45" t="s">
        <v>32</v>
      </c>
      <c r="M27" s="49"/>
      <c r="N27" s="45"/>
      <c r="O27" s="45" t="s">
        <v>98</v>
      </c>
    </row>
    <row r="28" spans="1:15" ht="15">
      <c r="A28" s="50" t="s">
        <v>97</v>
      </c>
      <c r="B28" s="50" t="s">
        <v>16</v>
      </c>
      <c r="C28" s="51">
        <v>5000000</v>
      </c>
      <c r="D28" s="52">
        <v>0.03</v>
      </c>
      <c r="E28" s="46">
        <f t="shared" si="0"/>
        <v>150000</v>
      </c>
      <c r="F28" s="50" t="s">
        <v>26</v>
      </c>
      <c r="G28" s="53">
        <v>1</v>
      </c>
      <c r="H28" s="50" t="s">
        <v>18</v>
      </c>
      <c r="I28" s="50" t="s">
        <v>19</v>
      </c>
      <c r="J28" s="54">
        <v>46287</v>
      </c>
      <c r="K28" s="50" t="s">
        <v>26</v>
      </c>
      <c r="L28" s="50" t="s">
        <v>32</v>
      </c>
      <c r="M28" s="54"/>
      <c r="N28" s="50"/>
      <c r="O28" s="50" t="s">
        <v>98</v>
      </c>
    </row>
    <row r="29" spans="1:15" ht="15">
      <c r="A29" s="50" t="s">
        <v>97</v>
      </c>
      <c r="B29" s="50" t="s">
        <v>16</v>
      </c>
      <c r="C29" s="51">
        <v>5000000</v>
      </c>
      <c r="D29" s="52">
        <v>0.03</v>
      </c>
      <c r="E29" s="46">
        <f t="shared" si="0"/>
        <v>150000</v>
      </c>
      <c r="F29" s="50" t="s">
        <v>26</v>
      </c>
      <c r="G29" s="53">
        <v>1</v>
      </c>
      <c r="H29" s="50" t="s">
        <v>30</v>
      </c>
      <c r="I29" s="50" t="s">
        <v>19</v>
      </c>
      <c r="J29" s="54">
        <v>46287</v>
      </c>
      <c r="K29" s="50" t="s">
        <v>66</v>
      </c>
      <c r="L29" s="50" t="s">
        <v>32</v>
      </c>
      <c r="M29" s="54"/>
      <c r="N29" s="50"/>
      <c r="O29" s="50" t="s">
        <v>100</v>
      </c>
    </row>
    <row r="30" spans="1:15" ht="15">
      <c r="A30" s="50" t="s">
        <v>101</v>
      </c>
      <c r="B30" s="50" t="s">
        <v>29</v>
      </c>
      <c r="C30" s="51">
        <v>20000000</v>
      </c>
      <c r="D30" s="52">
        <v>0.02</v>
      </c>
      <c r="E30" s="46">
        <f t="shared" si="0"/>
        <v>400000</v>
      </c>
      <c r="F30" s="50" t="s">
        <v>26</v>
      </c>
      <c r="G30" s="53">
        <v>1</v>
      </c>
      <c r="H30" s="50" t="s">
        <v>18</v>
      </c>
      <c r="I30" s="50" t="s">
        <v>19</v>
      </c>
      <c r="J30" s="54">
        <v>46279</v>
      </c>
      <c r="K30" s="50" t="s">
        <v>26</v>
      </c>
      <c r="L30" s="50" t="s">
        <v>32</v>
      </c>
      <c r="M30" s="54"/>
      <c r="N30" s="50"/>
      <c r="O30" s="50" t="s">
        <v>102</v>
      </c>
    </row>
    <row r="31" spans="1:15" ht="15">
      <c r="A31" s="50" t="s">
        <v>103</v>
      </c>
      <c r="B31" s="50" t="s">
        <v>25</v>
      </c>
      <c r="C31" s="51">
        <v>4000000</v>
      </c>
      <c r="D31" s="52">
        <v>0.03</v>
      </c>
      <c r="E31" s="46">
        <f t="shared" ref="E31" si="3">D31*C31</f>
        <v>120000</v>
      </c>
      <c r="F31" s="50" t="s">
        <v>66</v>
      </c>
      <c r="G31" s="53">
        <v>1</v>
      </c>
      <c r="H31" s="50" t="s">
        <v>18</v>
      </c>
      <c r="I31" s="50" t="s">
        <v>104</v>
      </c>
      <c r="J31" s="54">
        <v>46287</v>
      </c>
      <c r="K31" s="50" t="s">
        <v>26</v>
      </c>
      <c r="L31" s="50" t="s">
        <v>32</v>
      </c>
      <c r="M31" s="54"/>
      <c r="N31" s="50"/>
      <c r="O31" s="45" t="s">
        <v>105</v>
      </c>
    </row>
    <row r="32" spans="1:15" s="117" customFormat="1" ht="15">
      <c r="A32" s="50" t="s">
        <v>106</v>
      </c>
      <c r="B32" s="50" t="s">
        <v>16</v>
      </c>
      <c r="C32" s="51">
        <v>1000000</v>
      </c>
      <c r="D32" s="52">
        <v>0.03</v>
      </c>
      <c r="E32" s="46">
        <f>D32*C32</f>
        <v>30000</v>
      </c>
      <c r="F32" s="50" t="s">
        <v>66</v>
      </c>
      <c r="G32" s="53">
        <v>1</v>
      </c>
      <c r="H32" s="50" t="s">
        <v>107</v>
      </c>
      <c r="I32" s="50" t="s">
        <v>104</v>
      </c>
      <c r="J32" s="54">
        <v>46287</v>
      </c>
      <c r="K32" s="50" t="s">
        <v>26</v>
      </c>
      <c r="L32" s="50" t="s">
        <v>32</v>
      </c>
      <c r="M32" s="54"/>
      <c r="N32" s="50"/>
      <c r="O32" s="45" t="s">
        <v>98</v>
      </c>
    </row>
    <row r="33" spans="1:15" ht="15">
      <c r="A33" s="50" t="s">
        <v>106</v>
      </c>
      <c r="B33" s="50" t="s">
        <v>16</v>
      </c>
      <c r="C33" s="51">
        <v>1000000</v>
      </c>
      <c r="D33" s="52">
        <v>0.03</v>
      </c>
      <c r="E33" s="46">
        <f t="shared" si="0"/>
        <v>30000</v>
      </c>
      <c r="F33" s="50" t="s">
        <v>66</v>
      </c>
      <c r="G33" s="53">
        <v>1</v>
      </c>
      <c r="H33" s="50" t="s">
        <v>23</v>
      </c>
      <c r="I33" s="50" t="s">
        <v>104</v>
      </c>
      <c r="J33" s="54">
        <v>46288</v>
      </c>
      <c r="K33" s="50" t="s">
        <v>26</v>
      </c>
      <c r="L33" s="50" t="s">
        <v>32</v>
      </c>
      <c r="M33" s="54"/>
      <c r="N33" s="50"/>
      <c r="O33" s="45" t="s">
        <v>108</v>
      </c>
    </row>
    <row r="34" spans="1:15" ht="15">
      <c r="A34" s="45" t="s">
        <v>109</v>
      </c>
      <c r="B34" s="45" t="s">
        <v>16</v>
      </c>
      <c r="C34" s="46">
        <v>500000</v>
      </c>
      <c r="D34" s="47">
        <v>0.03</v>
      </c>
      <c r="E34" s="46">
        <f t="shared" si="0"/>
        <v>15000</v>
      </c>
      <c r="F34" s="45" t="s">
        <v>26</v>
      </c>
      <c r="G34" s="48">
        <v>1</v>
      </c>
      <c r="H34" s="45" t="s">
        <v>18</v>
      </c>
      <c r="I34" s="45" t="s">
        <v>19</v>
      </c>
      <c r="J34" s="49">
        <v>46279</v>
      </c>
      <c r="K34" s="45" t="s">
        <v>26</v>
      </c>
      <c r="L34" s="45" t="s">
        <v>32</v>
      </c>
      <c r="M34" s="49"/>
      <c r="N34" s="45"/>
      <c r="O34" s="45" t="s">
        <v>110</v>
      </c>
    </row>
    <row r="35" spans="1:15" ht="15">
      <c r="A35" s="50" t="s">
        <v>111</v>
      </c>
      <c r="B35" s="50" t="s">
        <v>16</v>
      </c>
      <c r="C35" s="51">
        <v>500000</v>
      </c>
      <c r="D35" s="52">
        <v>0.06</v>
      </c>
      <c r="E35" s="46">
        <f t="shared" si="0"/>
        <v>30000</v>
      </c>
      <c r="F35" s="50" t="s">
        <v>66</v>
      </c>
      <c r="G35" s="53">
        <v>1</v>
      </c>
      <c r="H35" s="50" t="s">
        <v>18</v>
      </c>
      <c r="I35" s="50" t="s">
        <v>19</v>
      </c>
      <c r="J35" s="54">
        <v>46287</v>
      </c>
      <c r="K35" s="50" t="s">
        <v>26</v>
      </c>
      <c r="L35" s="50" t="s">
        <v>32</v>
      </c>
      <c r="M35" s="54"/>
      <c r="N35" s="50"/>
      <c r="O35" s="50" t="s">
        <v>112</v>
      </c>
    </row>
    <row r="36" spans="1:15" ht="15">
      <c r="A36" s="45" t="s">
        <v>113</v>
      </c>
      <c r="B36" s="45" t="s">
        <v>114</v>
      </c>
      <c r="C36" s="46">
        <v>6000</v>
      </c>
      <c r="D36" s="47">
        <v>1</v>
      </c>
      <c r="E36" s="46">
        <f t="shared" si="0"/>
        <v>6000</v>
      </c>
      <c r="F36" s="45" t="s">
        <v>26</v>
      </c>
      <c r="G36" s="48">
        <v>1</v>
      </c>
      <c r="H36" s="45" t="s">
        <v>115</v>
      </c>
      <c r="I36" s="45" t="s">
        <v>19</v>
      </c>
      <c r="J36" s="49">
        <v>46280</v>
      </c>
      <c r="K36" s="45" t="s">
        <v>26</v>
      </c>
      <c r="L36" s="45" t="s">
        <v>32</v>
      </c>
      <c r="M36" s="49"/>
      <c r="N36" s="45"/>
      <c r="O36" s="45" t="s">
        <v>116</v>
      </c>
    </row>
    <row r="37" spans="1:15" ht="15">
      <c r="A37" s="50" t="s">
        <v>117</v>
      </c>
      <c r="B37" s="50" t="s">
        <v>16</v>
      </c>
      <c r="C37" s="51">
        <v>1000000</v>
      </c>
      <c r="D37" s="52">
        <v>0.01</v>
      </c>
      <c r="E37" s="46">
        <f t="shared" ref="E37" si="4">D37*C37</f>
        <v>10000</v>
      </c>
      <c r="F37" s="50" t="s">
        <v>26</v>
      </c>
      <c r="G37" s="53">
        <v>1</v>
      </c>
      <c r="H37" s="50" t="s">
        <v>58</v>
      </c>
      <c r="I37" s="50" t="s">
        <v>19</v>
      </c>
      <c r="J37" s="54">
        <v>46287</v>
      </c>
      <c r="K37" s="50" t="s">
        <v>66</v>
      </c>
      <c r="L37" s="50" t="s">
        <v>21</v>
      </c>
      <c r="M37" s="54"/>
      <c r="N37" s="50"/>
      <c r="O37" s="50" t="s">
        <v>118</v>
      </c>
    </row>
    <row r="38" spans="1:15" ht="15">
      <c r="A38" s="50" t="s">
        <v>119</v>
      </c>
      <c r="B38" s="50" t="s">
        <v>16</v>
      </c>
      <c r="C38" s="51">
        <v>6200000</v>
      </c>
      <c r="D38" s="52">
        <v>0.03</v>
      </c>
      <c r="E38" s="46">
        <f t="shared" si="0"/>
        <v>186000</v>
      </c>
      <c r="F38" s="50" t="s">
        <v>26</v>
      </c>
      <c r="G38" s="53">
        <v>1</v>
      </c>
      <c r="H38" s="50" t="s">
        <v>18</v>
      </c>
      <c r="I38" s="50" t="s">
        <v>19</v>
      </c>
      <c r="J38" s="54">
        <v>46287</v>
      </c>
      <c r="K38" s="50" t="s">
        <v>26</v>
      </c>
      <c r="L38" s="50" t="s">
        <v>32</v>
      </c>
      <c r="M38" s="54"/>
      <c r="N38" s="50"/>
      <c r="O38" s="50" t="s">
        <v>120</v>
      </c>
    </row>
    <row r="39" spans="1:15" ht="15">
      <c r="A39" s="45" t="s">
        <v>24</v>
      </c>
      <c r="B39" s="45" t="s">
        <v>29</v>
      </c>
      <c r="C39" s="46">
        <v>7000000</v>
      </c>
      <c r="D39" s="47">
        <v>0.03</v>
      </c>
      <c r="E39" s="46">
        <f t="shared" si="0"/>
        <v>210000</v>
      </c>
      <c r="F39" s="45" t="s">
        <v>66</v>
      </c>
      <c r="G39" s="48">
        <v>1</v>
      </c>
      <c r="H39" s="45" t="s">
        <v>18</v>
      </c>
      <c r="I39" s="45" t="s">
        <v>27</v>
      </c>
      <c r="J39" s="49">
        <v>46288</v>
      </c>
      <c r="K39" s="45" t="s">
        <v>66</v>
      </c>
      <c r="L39" s="45" t="s">
        <v>32</v>
      </c>
      <c r="M39" s="49"/>
      <c r="N39" s="45"/>
      <c r="O39" s="45" t="s">
        <v>121</v>
      </c>
    </row>
    <row r="40" spans="1:15" ht="15">
      <c r="A40" s="50"/>
      <c r="B40" s="50"/>
      <c r="C40" s="51"/>
      <c r="D40" s="52"/>
      <c r="E40" s="46">
        <f t="shared" si="0"/>
        <v>0</v>
      </c>
      <c r="F40" s="50"/>
      <c r="G40" s="53"/>
      <c r="H40" s="50"/>
      <c r="I40" s="50"/>
      <c r="J40" s="54"/>
      <c r="K40" s="50"/>
      <c r="L40" s="50"/>
      <c r="M40" s="54"/>
      <c r="N40" s="50"/>
      <c r="O40" s="50"/>
    </row>
    <row r="41" spans="1:15" ht="15">
      <c r="A41" s="45"/>
      <c r="B41" s="45"/>
      <c r="C41" s="46"/>
      <c r="D41" s="47"/>
      <c r="E41" s="46">
        <f t="shared" si="0"/>
        <v>0</v>
      </c>
      <c r="F41" s="45"/>
      <c r="G41" s="48"/>
      <c r="H41" s="45"/>
      <c r="I41" s="45"/>
      <c r="J41" s="49"/>
      <c r="K41" s="45"/>
      <c r="L41" s="45"/>
      <c r="M41" s="49"/>
      <c r="N41" s="45"/>
      <c r="O41" s="45"/>
    </row>
    <row r="42" spans="1:15" ht="15">
      <c r="A42" s="50"/>
      <c r="B42" s="50"/>
      <c r="C42" s="51"/>
      <c r="D42" s="52"/>
      <c r="E42" s="46">
        <f t="shared" si="0"/>
        <v>0</v>
      </c>
      <c r="F42" s="50"/>
      <c r="G42" s="53"/>
      <c r="H42" s="50"/>
      <c r="I42" s="50"/>
      <c r="J42" s="54"/>
      <c r="K42" s="50"/>
      <c r="L42" s="50"/>
      <c r="M42" s="54"/>
      <c r="N42" s="50"/>
      <c r="O42" s="50"/>
    </row>
    <row r="43" spans="1:15" ht="15">
      <c r="A43" s="45"/>
      <c r="B43" s="45"/>
      <c r="C43" s="46"/>
      <c r="D43" s="47"/>
      <c r="E43" s="46">
        <f t="shared" ref="E43:E106" si="5">D43*C43</f>
        <v>0</v>
      </c>
      <c r="F43" s="45"/>
      <c r="G43" s="48"/>
      <c r="H43" s="45"/>
      <c r="I43" s="45"/>
      <c r="J43" s="49"/>
      <c r="K43" s="45"/>
      <c r="L43" s="45"/>
      <c r="M43" s="49"/>
      <c r="N43" s="45"/>
      <c r="O43" s="45"/>
    </row>
    <row r="44" spans="1:15" ht="15">
      <c r="A44" s="50"/>
      <c r="B44" s="50"/>
      <c r="C44" s="51"/>
      <c r="D44" s="52"/>
      <c r="E44" s="46">
        <f t="shared" si="5"/>
        <v>0</v>
      </c>
      <c r="F44" s="50"/>
      <c r="G44" s="53"/>
      <c r="H44" s="50"/>
      <c r="I44" s="50"/>
      <c r="J44" s="54"/>
      <c r="K44" s="50"/>
      <c r="L44" s="50"/>
      <c r="M44" s="54"/>
      <c r="N44" s="50"/>
      <c r="O44" s="50"/>
    </row>
    <row r="45" spans="1:15" ht="15">
      <c r="A45" s="45"/>
      <c r="B45" s="45"/>
      <c r="C45" s="46"/>
      <c r="D45" s="47"/>
      <c r="E45" s="46">
        <f t="shared" si="5"/>
        <v>0</v>
      </c>
      <c r="F45" s="45"/>
      <c r="G45" s="48"/>
      <c r="H45" s="45"/>
      <c r="I45" s="45"/>
      <c r="J45" s="49"/>
      <c r="K45" s="45"/>
      <c r="L45" s="45"/>
      <c r="M45" s="49"/>
      <c r="N45" s="45"/>
      <c r="O45" s="45"/>
    </row>
    <row r="46" spans="1:15" ht="15">
      <c r="A46" s="50"/>
      <c r="B46" s="50"/>
      <c r="C46" s="51"/>
      <c r="D46" s="52"/>
      <c r="E46" s="46">
        <f t="shared" si="5"/>
        <v>0</v>
      </c>
      <c r="F46" s="50"/>
      <c r="G46" s="53"/>
      <c r="H46" s="50"/>
      <c r="I46" s="50"/>
      <c r="J46" s="54"/>
      <c r="K46" s="50"/>
      <c r="L46" s="50"/>
      <c r="M46" s="54"/>
      <c r="N46" s="50"/>
      <c r="O46" s="50"/>
    </row>
    <row r="47" spans="1:15" ht="15">
      <c r="A47" s="45"/>
      <c r="B47" s="45"/>
      <c r="C47" s="46"/>
      <c r="D47" s="47"/>
      <c r="E47" s="46">
        <f t="shared" si="5"/>
        <v>0</v>
      </c>
      <c r="F47" s="45"/>
      <c r="G47" s="48"/>
      <c r="H47" s="45"/>
      <c r="I47" s="45"/>
      <c r="J47" s="49"/>
      <c r="K47" s="45"/>
      <c r="L47" s="45"/>
      <c r="M47" s="49"/>
      <c r="N47" s="45"/>
      <c r="O47" s="45"/>
    </row>
    <row r="48" spans="1:15" ht="15">
      <c r="A48" s="50"/>
      <c r="B48" s="50"/>
      <c r="C48" s="51"/>
      <c r="D48" s="52"/>
      <c r="E48" s="46">
        <f t="shared" si="5"/>
        <v>0</v>
      </c>
      <c r="F48" s="50"/>
      <c r="G48" s="53"/>
      <c r="H48" s="50"/>
      <c r="I48" s="50"/>
      <c r="J48" s="54"/>
      <c r="K48" s="50"/>
      <c r="L48" s="50"/>
      <c r="M48" s="54"/>
      <c r="N48" s="50"/>
      <c r="O48" s="50"/>
    </row>
    <row r="49" spans="1:15" ht="15">
      <c r="A49" s="45"/>
      <c r="B49" s="45"/>
      <c r="C49" s="46"/>
      <c r="D49" s="47"/>
      <c r="E49" s="46">
        <f t="shared" si="5"/>
        <v>0</v>
      </c>
      <c r="F49" s="45"/>
      <c r="G49" s="48"/>
      <c r="H49" s="45"/>
      <c r="I49" s="45"/>
      <c r="J49" s="49"/>
      <c r="K49" s="45"/>
      <c r="L49" s="45"/>
      <c r="M49" s="49"/>
      <c r="N49" s="45"/>
      <c r="O49" s="45"/>
    </row>
    <row r="50" spans="1:15" ht="15">
      <c r="A50" s="50"/>
      <c r="B50" s="50"/>
      <c r="C50" s="51"/>
      <c r="D50" s="52"/>
      <c r="E50" s="46">
        <f t="shared" si="5"/>
        <v>0</v>
      </c>
      <c r="F50" s="50"/>
      <c r="G50" s="53"/>
      <c r="H50" s="50"/>
      <c r="I50" s="50"/>
      <c r="J50" s="54"/>
      <c r="K50" s="50"/>
      <c r="L50" s="50"/>
      <c r="M50" s="54"/>
      <c r="N50" s="50"/>
      <c r="O50" s="50"/>
    </row>
    <row r="51" spans="1:15" ht="15">
      <c r="A51" s="45"/>
      <c r="B51" s="45"/>
      <c r="C51" s="46"/>
      <c r="D51" s="47"/>
      <c r="E51" s="46">
        <f t="shared" si="5"/>
        <v>0</v>
      </c>
      <c r="F51" s="45"/>
      <c r="G51" s="48"/>
      <c r="H51" s="45"/>
      <c r="I51" s="45"/>
      <c r="J51" s="49"/>
      <c r="K51" s="45"/>
      <c r="L51" s="45"/>
      <c r="M51" s="49"/>
      <c r="N51" s="45"/>
      <c r="O51" s="45"/>
    </row>
    <row r="52" spans="1:15" ht="15">
      <c r="A52" s="50"/>
      <c r="B52" s="50"/>
      <c r="C52" s="51"/>
      <c r="D52" s="52"/>
      <c r="E52" s="46">
        <f t="shared" si="5"/>
        <v>0</v>
      </c>
      <c r="F52" s="50"/>
      <c r="G52" s="53"/>
      <c r="H52" s="50"/>
      <c r="I52" s="50"/>
      <c r="J52" s="54"/>
      <c r="K52" s="50"/>
      <c r="L52" s="50"/>
      <c r="M52" s="54"/>
      <c r="N52" s="50"/>
      <c r="O52" s="50"/>
    </row>
    <row r="53" spans="1:15" ht="15">
      <c r="A53" s="45"/>
      <c r="B53" s="45"/>
      <c r="C53" s="46"/>
      <c r="D53" s="47"/>
      <c r="E53" s="46">
        <f t="shared" si="5"/>
        <v>0</v>
      </c>
      <c r="F53" s="45"/>
      <c r="G53" s="48"/>
      <c r="H53" s="45"/>
      <c r="I53" s="45"/>
      <c r="J53" s="49"/>
      <c r="K53" s="45"/>
      <c r="L53" s="45"/>
      <c r="M53" s="49"/>
      <c r="N53" s="45"/>
      <c r="O53" s="45"/>
    </row>
    <row r="54" spans="1:15" ht="15">
      <c r="A54" s="50"/>
      <c r="B54" s="50"/>
      <c r="C54" s="51"/>
      <c r="D54" s="52"/>
      <c r="E54" s="46">
        <f t="shared" si="5"/>
        <v>0</v>
      </c>
      <c r="F54" s="50"/>
      <c r="G54" s="53"/>
      <c r="H54" s="50"/>
      <c r="I54" s="50"/>
      <c r="J54" s="54"/>
      <c r="K54" s="50"/>
      <c r="L54" s="50"/>
      <c r="M54" s="54"/>
      <c r="N54" s="50"/>
      <c r="O54" s="50"/>
    </row>
    <row r="55" spans="1:15" ht="15">
      <c r="A55" s="45"/>
      <c r="B55" s="45"/>
      <c r="C55" s="46"/>
      <c r="D55" s="47"/>
      <c r="E55" s="46">
        <f t="shared" si="5"/>
        <v>0</v>
      </c>
      <c r="F55" s="45"/>
      <c r="G55" s="48"/>
      <c r="H55" s="45"/>
      <c r="I55" s="45"/>
      <c r="J55" s="49"/>
      <c r="K55" s="45"/>
      <c r="L55" s="45"/>
      <c r="M55" s="49"/>
      <c r="N55" s="45"/>
      <c r="O55" s="45"/>
    </row>
    <row r="56" spans="1:15" ht="15">
      <c r="A56" s="50"/>
      <c r="B56" s="50"/>
      <c r="C56" s="51"/>
      <c r="D56" s="52"/>
      <c r="E56" s="46">
        <f t="shared" si="5"/>
        <v>0</v>
      </c>
      <c r="F56" s="50"/>
      <c r="G56" s="53"/>
      <c r="H56" s="50"/>
      <c r="I56" s="50"/>
      <c r="J56" s="54"/>
      <c r="K56" s="50"/>
      <c r="L56" s="50"/>
      <c r="M56" s="54"/>
      <c r="N56" s="50"/>
      <c r="O56" s="50"/>
    </row>
    <row r="57" spans="1:15" ht="15">
      <c r="A57" s="45"/>
      <c r="B57" s="45"/>
      <c r="C57" s="46"/>
      <c r="D57" s="47"/>
      <c r="E57" s="46">
        <f t="shared" si="5"/>
        <v>0</v>
      </c>
      <c r="F57" s="45"/>
      <c r="G57" s="48"/>
      <c r="H57" s="45"/>
      <c r="I57" s="45"/>
      <c r="J57" s="49"/>
      <c r="K57" s="45"/>
      <c r="L57" s="45"/>
      <c r="M57" s="49"/>
      <c r="N57" s="45"/>
      <c r="O57" s="45"/>
    </row>
    <row r="58" spans="1:15" ht="15">
      <c r="A58" s="50"/>
      <c r="B58" s="50"/>
      <c r="C58" s="51"/>
      <c r="D58" s="52"/>
      <c r="E58" s="46">
        <f t="shared" si="5"/>
        <v>0</v>
      </c>
      <c r="F58" s="50"/>
      <c r="G58" s="53"/>
      <c r="H58" s="50"/>
      <c r="I58" s="50"/>
      <c r="J58" s="54"/>
      <c r="K58" s="50"/>
      <c r="L58" s="50"/>
      <c r="M58" s="54"/>
      <c r="N58" s="50"/>
      <c r="O58" s="50"/>
    </row>
    <row r="59" spans="1:15" ht="15">
      <c r="A59" s="45"/>
      <c r="B59" s="45"/>
      <c r="C59" s="46"/>
      <c r="D59" s="47"/>
      <c r="E59" s="46">
        <f t="shared" si="5"/>
        <v>0</v>
      </c>
      <c r="F59" s="45"/>
      <c r="G59" s="48"/>
      <c r="H59" s="45"/>
      <c r="I59" s="45"/>
      <c r="J59" s="49"/>
      <c r="K59" s="45"/>
      <c r="L59" s="45"/>
      <c r="M59" s="49"/>
      <c r="N59" s="45"/>
      <c r="O59" s="45"/>
    </row>
    <row r="60" spans="1:15" ht="15">
      <c r="A60" s="50"/>
      <c r="B60" s="50"/>
      <c r="C60" s="51"/>
      <c r="D60" s="52"/>
      <c r="E60" s="46">
        <f t="shared" si="5"/>
        <v>0</v>
      </c>
      <c r="F60" s="50"/>
      <c r="G60" s="53"/>
      <c r="H60" s="50"/>
      <c r="I60" s="50"/>
      <c r="J60" s="54"/>
      <c r="K60" s="50"/>
      <c r="L60" s="50"/>
      <c r="M60" s="54"/>
      <c r="N60" s="50"/>
      <c r="O60" s="50"/>
    </row>
    <row r="61" spans="1:15" ht="15">
      <c r="A61" s="45"/>
      <c r="B61" s="45"/>
      <c r="C61" s="46"/>
      <c r="D61" s="47"/>
      <c r="E61" s="46">
        <f t="shared" si="5"/>
        <v>0</v>
      </c>
      <c r="F61" s="45"/>
      <c r="G61" s="48"/>
      <c r="H61" s="45"/>
      <c r="I61" s="45"/>
      <c r="J61" s="49"/>
      <c r="K61" s="45"/>
      <c r="L61" s="45"/>
      <c r="M61" s="49"/>
      <c r="N61" s="45"/>
      <c r="O61" s="45"/>
    </row>
    <row r="62" spans="1:15" ht="15">
      <c r="A62" s="50"/>
      <c r="B62" s="50"/>
      <c r="C62" s="51"/>
      <c r="D62" s="52"/>
      <c r="E62" s="46">
        <f t="shared" si="5"/>
        <v>0</v>
      </c>
      <c r="F62" s="50"/>
      <c r="G62" s="53"/>
      <c r="H62" s="50"/>
      <c r="I62" s="50"/>
      <c r="J62" s="54"/>
      <c r="K62" s="50"/>
      <c r="L62" s="50"/>
      <c r="M62" s="54"/>
      <c r="N62" s="50"/>
      <c r="O62" s="50"/>
    </row>
    <row r="63" spans="1:15" ht="15">
      <c r="A63" s="45"/>
      <c r="B63" s="45"/>
      <c r="C63" s="46"/>
      <c r="D63" s="47"/>
      <c r="E63" s="46">
        <f t="shared" si="5"/>
        <v>0</v>
      </c>
      <c r="F63" s="45"/>
      <c r="G63" s="48"/>
      <c r="H63" s="45"/>
      <c r="I63" s="45"/>
      <c r="J63" s="49"/>
      <c r="K63" s="45"/>
      <c r="L63" s="45"/>
      <c r="M63" s="49"/>
      <c r="N63" s="45"/>
      <c r="O63" s="45"/>
    </row>
    <row r="64" spans="1:15" ht="15">
      <c r="A64" s="50"/>
      <c r="B64" s="50"/>
      <c r="C64" s="51"/>
      <c r="D64" s="52"/>
      <c r="E64" s="46">
        <f t="shared" si="5"/>
        <v>0</v>
      </c>
      <c r="F64" s="50"/>
      <c r="G64" s="53"/>
      <c r="H64" s="50"/>
      <c r="I64" s="50"/>
      <c r="J64" s="54"/>
      <c r="K64" s="50"/>
      <c r="L64" s="50"/>
      <c r="M64" s="54"/>
      <c r="N64" s="50"/>
      <c r="O64" s="50"/>
    </row>
    <row r="65" spans="1:15" ht="15">
      <c r="A65" s="45"/>
      <c r="B65" s="45"/>
      <c r="C65" s="46"/>
      <c r="D65" s="47"/>
      <c r="E65" s="46">
        <f t="shared" si="5"/>
        <v>0</v>
      </c>
      <c r="F65" s="45"/>
      <c r="G65" s="48"/>
      <c r="H65" s="45"/>
      <c r="I65" s="45"/>
      <c r="J65" s="49"/>
      <c r="K65" s="45"/>
      <c r="L65" s="45"/>
      <c r="M65" s="49"/>
      <c r="N65" s="45"/>
      <c r="O65" s="45"/>
    </row>
    <row r="66" spans="1:15" ht="15">
      <c r="A66" s="50"/>
      <c r="B66" s="50"/>
      <c r="C66" s="51"/>
      <c r="D66" s="52"/>
      <c r="E66" s="46">
        <f t="shared" si="5"/>
        <v>0</v>
      </c>
      <c r="F66" s="50"/>
      <c r="G66" s="53"/>
      <c r="H66" s="50"/>
      <c r="I66" s="50"/>
      <c r="J66" s="54"/>
      <c r="K66" s="50"/>
      <c r="L66" s="50"/>
      <c r="M66" s="54"/>
      <c r="N66" s="50"/>
      <c r="O66" s="50"/>
    </row>
    <row r="67" spans="1:15" ht="15">
      <c r="A67" s="45"/>
      <c r="B67" s="45"/>
      <c r="C67" s="46"/>
      <c r="D67" s="47"/>
      <c r="E67" s="46">
        <f t="shared" si="5"/>
        <v>0</v>
      </c>
      <c r="F67" s="45"/>
      <c r="G67" s="48"/>
      <c r="H67" s="45"/>
      <c r="I67" s="45"/>
      <c r="J67" s="49"/>
      <c r="K67" s="45"/>
      <c r="L67" s="45"/>
      <c r="M67" s="49"/>
      <c r="N67" s="45"/>
      <c r="O67" s="45"/>
    </row>
    <row r="68" spans="1:15" ht="15">
      <c r="A68" s="50"/>
      <c r="B68" s="50"/>
      <c r="C68" s="51"/>
      <c r="D68" s="52"/>
      <c r="E68" s="46">
        <f t="shared" si="5"/>
        <v>0</v>
      </c>
      <c r="F68" s="50"/>
      <c r="G68" s="53"/>
      <c r="H68" s="50"/>
      <c r="I68" s="50"/>
      <c r="J68" s="54"/>
      <c r="K68" s="50"/>
      <c r="L68" s="50"/>
      <c r="M68" s="54"/>
      <c r="N68" s="50"/>
      <c r="O68" s="50"/>
    </row>
    <row r="69" spans="1:15" ht="15">
      <c r="A69" s="45"/>
      <c r="B69" s="45"/>
      <c r="C69" s="46"/>
      <c r="D69" s="47"/>
      <c r="E69" s="46">
        <f t="shared" si="5"/>
        <v>0</v>
      </c>
      <c r="F69" s="45"/>
      <c r="G69" s="48"/>
      <c r="H69" s="45"/>
      <c r="I69" s="45"/>
      <c r="J69" s="49"/>
      <c r="K69" s="45"/>
      <c r="L69" s="45"/>
      <c r="M69" s="49"/>
      <c r="N69" s="45"/>
      <c r="O69" s="45"/>
    </row>
    <row r="70" spans="1:15" ht="15">
      <c r="A70" s="50"/>
      <c r="B70" s="50"/>
      <c r="C70" s="51"/>
      <c r="D70" s="52"/>
      <c r="E70" s="46">
        <f t="shared" si="5"/>
        <v>0</v>
      </c>
      <c r="F70" s="50"/>
      <c r="G70" s="53"/>
      <c r="H70" s="50"/>
      <c r="I70" s="50"/>
      <c r="J70" s="54"/>
      <c r="K70" s="50"/>
      <c r="L70" s="50"/>
      <c r="M70" s="54"/>
      <c r="N70" s="50"/>
      <c r="O70" s="50"/>
    </row>
    <row r="71" spans="1:15" ht="15">
      <c r="A71" s="45"/>
      <c r="B71" s="45"/>
      <c r="C71" s="46"/>
      <c r="D71" s="47"/>
      <c r="E71" s="46">
        <f t="shared" si="5"/>
        <v>0</v>
      </c>
      <c r="F71" s="45"/>
      <c r="G71" s="48"/>
      <c r="H71" s="45"/>
      <c r="I71" s="45"/>
      <c r="J71" s="49"/>
      <c r="K71" s="45"/>
      <c r="L71" s="45"/>
      <c r="M71" s="49"/>
      <c r="N71" s="45"/>
      <c r="O71" s="45"/>
    </row>
    <row r="72" spans="1:15" ht="15">
      <c r="A72" s="50"/>
      <c r="B72" s="50"/>
      <c r="C72" s="51"/>
      <c r="D72" s="52"/>
      <c r="E72" s="46">
        <f t="shared" si="5"/>
        <v>0</v>
      </c>
      <c r="F72" s="50"/>
      <c r="G72" s="53"/>
      <c r="H72" s="50"/>
      <c r="I72" s="50"/>
      <c r="J72" s="54"/>
      <c r="K72" s="50"/>
      <c r="L72" s="50"/>
      <c r="M72" s="54"/>
      <c r="N72" s="50"/>
      <c r="O72" s="50"/>
    </row>
    <row r="73" spans="1:15" ht="15">
      <c r="A73" s="45"/>
      <c r="B73" s="45"/>
      <c r="C73" s="46"/>
      <c r="D73" s="47"/>
      <c r="E73" s="46">
        <f t="shared" si="5"/>
        <v>0</v>
      </c>
      <c r="F73" s="45"/>
      <c r="G73" s="48"/>
      <c r="H73" s="45"/>
      <c r="I73" s="45"/>
      <c r="J73" s="49"/>
      <c r="K73" s="45"/>
      <c r="L73" s="45"/>
      <c r="M73" s="49"/>
      <c r="N73" s="45"/>
      <c r="O73" s="45"/>
    </row>
    <row r="74" spans="1:15" ht="15">
      <c r="A74" s="50"/>
      <c r="B74" s="50"/>
      <c r="C74" s="51"/>
      <c r="D74" s="52"/>
      <c r="E74" s="46">
        <f t="shared" si="5"/>
        <v>0</v>
      </c>
      <c r="F74" s="50"/>
      <c r="G74" s="53"/>
      <c r="H74" s="50"/>
      <c r="I74" s="50"/>
      <c r="J74" s="54"/>
      <c r="K74" s="50"/>
      <c r="L74" s="50"/>
      <c r="M74" s="54"/>
      <c r="N74" s="50"/>
      <c r="O74" s="50"/>
    </row>
    <row r="75" spans="1:15" ht="15">
      <c r="A75" s="45"/>
      <c r="B75" s="45"/>
      <c r="C75" s="46"/>
      <c r="D75" s="47"/>
      <c r="E75" s="46">
        <f t="shared" si="5"/>
        <v>0</v>
      </c>
      <c r="F75" s="45"/>
      <c r="G75" s="48"/>
      <c r="H75" s="45"/>
      <c r="I75" s="45"/>
      <c r="J75" s="49"/>
      <c r="K75" s="45"/>
      <c r="L75" s="45"/>
      <c r="M75" s="49"/>
      <c r="N75" s="45"/>
      <c r="O75" s="45"/>
    </row>
    <row r="76" spans="1:15" ht="15">
      <c r="A76" s="50"/>
      <c r="B76" s="50"/>
      <c r="C76" s="51"/>
      <c r="D76" s="52"/>
      <c r="E76" s="46">
        <f t="shared" si="5"/>
        <v>0</v>
      </c>
      <c r="F76" s="50"/>
      <c r="G76" s="53"/>
      <c r="H76" s="50"/>
      <c r="I76" s="50"/>
      <c r="J76" s="54"/>
      <c r="K76" s="50"/>
      <c r="L76" s="50"/>
      <c r="M76" s="54"/>
      <c r="N76" s="50"/>
      <c r="O76" s="50"/>
    </row>
    <row r="77" spans="1:15" ht="15">
      <c r="A77" s="45"/>
      <c r="B77" s="45"/>
      <c r="C77" s="46"/>
      <c r="D77" s="47"/>
      <c r="E77" s="46">
        <f t="shared" si="5"/>
        <v>0</v>
      </c>
      <c r="F77" s="45"/>
      <c r="G77" s="48"/>
      <c r="H77" s="45"/>
      <c r="I77" s="45"/>
      <c r="J77" s="49"/>
      <c r="K77" s="45"/>
      <c r="L77" s="45"/>
      <c r="M77" s="49"/>
      <c r="N77" s="45"/>
      <c r="O77" s="45"/>
    </row>
    <row r="78" spans="1:15" ht="15">
      <c r="A78" s="50"/>
      <c r="B78" s="50"/>
      <c r="C78" s="51"/>
      <c r="D78" s="52"/>
      <c r="E78" s="46">
        <f t="shared" si="5"/>
        <v>0</v>
      </c>
      <c r="F78" s="50"/>
      <c r="G78" s="53"/>
      <c r="H78" s="50"/>
      <c r="I78" s="50"/>
      <c r="J78" s="54"/>
      <c r="K78" s="50"/>
      <c r="L78" s="50"/>
      <c r="M78" s="54"/>
      <c r="N78" s="50"/>
      <c r="O78" s="50"/>
    </row>
    <row r="79" spans="1:15" ht="15">
      <c r="A79" s="45"/>
      <c r="B79" s="45"/>
      <c r="C79" s="46"/>
      <c r="D79" s="47"/>
      <c r="E79" s="46">
        <f t="shared" si="5"/>
        <v>0</v>
      </c>
      <c r="F79" s="45"/>
      <c r="G79" s="48"/>
      <c r="H79" s="45"/>
      <c r="I79" s="45"/>
      <c r="J79" s="49"/>
      <c r="K79" s="45"/>
      <c r="L79" s="45"/>
      <c r="M79" s="49"/>
      <c r="N79" s="45"/>
      <c r="O79" s="45"/>
    </row>
    <row r="80" spans="1:15" ht="15">
      <c r="A80" s="50"/>
      <c r="B80" s="50"/>
      <c r="C80" s="51"/>
      <c r="D80" s="52"/>
      <c r="E80" s="46">
        <f t="shared" si="5"/>
        <v>0</v>
      </c>
      <c r="F80" s="50"/>
      <c r="G80" s="53"/>
      <c r="H80" s="50"/>
      <c r="I80" s="50"/>
      <c r="J80" s="54"/>
      <c r="K80" s="50"/>
      <c r="L80" s="50"/>
      <c r="M80" s="54"/>
      <c r="N80" s="50"/>
      <c r="O80" s="50"/>
    </row>
    <row r="81" spans="1:15" ht="15">
      <c r="A81" s="45"/>
      <c r="B81" s="45"/>
      <c r="C81" s="46"/>
      <c r="D81" s="47"/>
      <c r="E81" s="46">
        <f t="shared" si="5"/>
        <v>0</v>
      </c>
      <c r="F81" s="45"/>
      <c r="G81" s="48"/>
      <c r="H81" s="45"/>
      <c r="I81" s="45"/>
      <c r="J81" s="49"/>
      <c r="K81" s="45"/>
      <c r="L81" s="45"/>
      <c r="M81" s="49"/>
      <c r="N81" s="45"/>
      <c r="O81" s="45"/>
    </row>
    <row r="82" spans="1:15" ht="15">
      <c r="A82" s="50"/>
      <c r="B82" s="50"/>
      <c r="C82" s="51"/>
      <c r="D82" s="52"/>
      <c r="E82" s="46">
        <f t="shared" si="5"/>
        <v>0</v>
      </c>
      <c r="F82" s="50"/>
      <c r="G82" s="53"/>
      <c r="H82" s="50"/>
      <c r="I82" s="50"/>
      <c r="J82" s="54"/>
      <c r="K82" s="50"/>
      <c r="L82" s="50"/>
      <c r="M82" s="54"/>
      <c r="N82" s="50"/>
      <c r="O82" s="50"/>
    </row>
    <row r="83" spans="1:15" ht="15">
      <c r="A83" s="45"/>
      <c r="B83" s="45"/>
      <c r="C83" s="46"/>
      <c r="D83" s="47"/>
      <c r="E83" s="46">
        <f t="shared" si="5"/>
        <v>0</v>
      </c>
      <c r="F83" s="45"/>
      <c r="G83" s="48"/>
      <c r="H83" s="45"/>
      <c r="I83" s="45"/>
      <c r="J83" s="49"/>
      <c r="K83" s="45"/>
      <c r="L83" s="45"/>
      <c r="M83" s="49"/>
      <c r="N83" s="45"/>
      <c r="O83" s="45"/>
    </row>
    <row r="84" spans="1:15" ht="15">
      <c r="A84" s="50"/>
      <c r="B84" s="50"/>
      <c r="C84" s="51"/>
      <c r="D84" s="52"/>
      <c r="E84" s="46">
        <f t="shared" si="5"/>
        <v>0</v>
      </c>
      <c r="F84" s="50"/>
      <c r="G84" s="53"/>
      <c r="H84" s="50"/>
      <c r="I84" s="50"/>
      <c r="J84" s="54"/>
      <c r="K84" s="50"/>
      <c r="L84" s="50"/>
      <c r="M84" s="54"/>
      <c r="N84" s="50"/>
      <c r="O84" s="50"/>
    </row>
    <row r="85" spans="1:15" ht="15">
      <c r="A85" s="45"/>
      <c r="B85" s="45"/>
      <c r="C85" s="46"/>
      <c r="D85" s="47"/>
      <c r="E85" s="46">
        <f t="shared" si="5"/>
        <v>0</v>
      </c>
      <c r="F85" s="45"/>
      <c r="G85" s="48"/>
      <c r="H85" s="45"/>
      <c r="I85" s="45"/>
      <c r="J85" s="49"/>
      <c r="K85" s="45"/>
      <c r="L85" s="45"/>
      <c r="M85" s="49"/>
      <c r="N85" s="45"/>
      <c r="O85" s="45"/>
    </row>
    <row r="86" spans="1:15" ht="15">
      <c r="A86" s="50"/>
      <c r="B86" s="50"/>
      <c r="C86" s="51"/>
      <c r="D86" s="52"/>
      <c r="E86" s="46">
        <f t="shared" si="5"/>
        <v>0</v>
      </c>
      <c r="F86" s="50"/>
      <c r="G86" s="53"/>
      <c r="H86" s="50"/>
      <c r="I86" s="50"/>
      <c r="J86" s="54"/>
      <c r="K86" s="50"/>
      <c r="L86" s="50"/>
      <c r="M86" s="54"/>
      <c r="N86" s="50"/>
      <c r="O86" s="50"/>
    </row>
    <row r="87" spans="1:15" ht="15">
      <c r="A87" s="45"/>
      <c r="B87" s="45"/>
      <c r="C87" s="46"/>
      <c r="D87" s="47"/>
      <c r="E87" s="46">
        <f t="shared" si="5"/>
        <v>0</v>
      </c>
      <c r="F87" s="45"/>
      <c r="G87" s="48"/>
      <c r="H87" s="45"/>
      <c r="I87" s="45"/>
      <c r="J87" s="49"/>
      <c r="K87" s="45"/>
      <c r="L87" s="45"/>
      <c r="M87" s="49"/>
      <c r="N87" s="45"/>
      <c r="O87" s="45"/>
    </row>
    <row r="88" spans="1:15" ht="15">
      <c r="A88" s="50"/>
      <c r="B88" s="50"/>
      <c r="C88" s="51"/>
      <c r="D88" s="52"/>
      <c r="E88" s="46">
        <f t="shared" si="5"/>
        <v>0</v>
      </c>
      <c r="F88" s="50"/>
      <c r="G88" s="53"/>
      <c r="H88" s="50"/>
      <c r="I88" s="50"/>
      <c r="J88" s="54"/>
      <c r="K88" s="50"/>
      <c r="L88" s="50"/>
      <c r="M88" s="54"/>
      <c r="N88" s="50"/>
      <c r="O88" s="50"/>
    </row>
    <row r="89" spans="1:15" ht="15">
      <c r="A89" s="45"/>
      <c r="B89" s="45"/>
      <c r="C89" s="46"/>
      <c r="D89" s="47"/>
      <c r="E89" s="46">
        <f t="shared" si="5"/>
        <v>0</v>
      </c>
      <c r="F89" s="45"/>
      <c r="G89" s="48"/>
      <c r="H89" s="45"/>
      <c r="I89" s="45"/>
      <c r="J89" s="49"/>
      <c r="K89" s="45"/>
      <c r="L89" s="45"/>
      <c r="M89" s="49"/>
      <c r="N89" s="45"/>
      <c r="O89" s="45"/>
    </row>
    <row r="90" spans="1:15" ht="15">
      <c r="A90" s="50"/>
      <c r="B90" s="50"/>
      <c r="C90" s="51"/>
      <c r="D90" s="52"/>
      <c r="E90" s="46">
        <f t="shared" si="5"/>
        <v>0</v>
      </c>
      <c r="F90" s="50"/>
      <c r="G90" s="53"/>
      <c r="H90" s="50"/>
      <c r="I90" s="50"/>
      <c r="J90" s="54"/>
      <c r="K90" s="50"/>
      <c r="L90" s="50"/>
      <c r="M90" s="54"/>
      <c r="N90" s="50"/>
      <c r="O90" s="50"/>
    </row>
    <row r="91" spans="1:15" ht="15">
      <c r="A91" s="45"/>
      <c r="B91" s="45"/>
      <c r="C91" s="46"/>
      <c r="D91" s="47"/>
      <c r="E91" s="46">
        <f t="shared" si="5"/>
        <v>0</v>
      </c>
      <c r="F91" s="45"/>
      <c r="G91" s="48"/>
      <c r="H91" s="45"/>
      <c r="I91" s="45"/>
      <c r="J91" s="49"/>
      <c r="K91" s="45"/>
      <c r="L91" s="45"/>
      <c r="M91" s="49"/>
      <c r="N91" s="45"/>
      <c r="O91" s="45"/>
    </row>
    <row r="92" spans="1:15" ht="15">
      <c r="A92" s="50"/>
      <c r="B92" s="50"/>
      <c r="C92" s="51"/>
      <c r="D92" s="52"/>
      <c r="E92" s="46">
        <f t="shared" si="5"/>
        <v>0</v>
      </c>
      <c r="F92" s="50"/>
      <c r="G92" s="53"/>
      <c r="H92" s="50"/>
      <c r="I92" s="50"/>
      <c r="J92" s="54"/>
      <c r="K92" s="50"/>
      <c r="L92" s="50"/>
      <c r="M92" s="54"/>
      <c r="N92" s="50"/>
      <c r="O92" s="50"/>
    </row>
    <row r="93" spans="1:15" ht="15">
      <c r="A93" s="45"/>
      <c r="B93" s="45"/>
      <c r="C93" s="46"/>
      <c r="D93" s="47"/>
      <c r="E93" s="46">
        <f t="shared" si="5"/>
        <v>0</v>
      </c>
      <c r="F93" s="45"/>
      <c r="G93" s="48"/>
      <c r="H93" s="45"/>
      <c r="I93" s="45"/>
      <c r="J93" s="49"/>
      <c r="K93" s="45"/>
      <c r="L93" s="45"/>
      <c r="M93" s="49"/>
      <c r="N93" s="45"/>
      <c r="O93" s="45"/>
    </row>
    <row r="94" spans="1:15" ht="15">
      <c r="A94" s="50"/>
      <c r="B94" s="50"/>
      <c r="C94" s="51"/>
      <c r="D94" s="52"/>
      <c r="E94" s="46">
        <f t="shared" si="5"/>
        <v>0</v>
      </c>
      <c r="F94" s="50"/>
      <c r="G94" s="53"/>
      <c r="H94" s="50"/>
      <c r="I94" s="50"/>
      <c r="J94" s="54"/>
      <c r="K94" s="50"/>
      <c r="L94" s="50"/>
      <c r="M94" s="54"/>
      <c r="N94" s="50"/>
      <c r="O94" s="50"/>
    </row>
    <row r="95" spans="1:15" ht="15">
      <c r="A95" s="45"/>
      <c r="B95" s="45"/>
      <c r="C95" s="46"/>
      <c r="D95" s="47"/>
      <c r="E95" s="46">
        <f t="shared" si="5"/>
        <v>0</v>
      </c>
      <c r="F95" s="45"/>
      <c r="G95" s="48"/>
      <c r="H95" s="45"/>
      <c r="I95" s="45"/>
      <c r="J95" s="49"/>
      <c r="K95" s="45"/>
      <c r="L95" s="45"/>
      <c r="M95" s="49"/>
      <c r="N95" s="45"/>
      <c r="O95" s="45"/>
    </row>
    <row r="96" spans="1:15" ht="15">
      <c r="A96" s="50"/>
      <c r="B96" s="50"/>
      <c r="C96" s="51"/>
      <c r="D96" s="52"/>
      <c r="E96" s="46">
        <f t="shared" si="5"/>
        <v>0</v>
      </c>
      <c r="F96" s="50"/>
      <c r="G96" s="53"/>
      <c r="H96" s="50"/>
      <c r="I96" s="50"/>
      <c r="J96" s="54"/>
      <c r="K96" s="50"/>
      <c r="L96" s="50"/>
      <c r="M96" s="54"/>
      <c r="N96" s="50"/>
      <c r="O96" s="50"/>
    </row>
    <row r="97" spans="1:15" ht="15">
      <c r="A97" s="45"/>
      <c r="B97" s="45"/>
      <c r="C97" s="46"/>
      <c r="D97" s="47"/>
      <c r="E97" s="46">
        <f t="shared" si="5"/>
        <v>0</v>
      </c>
      <c r="F97" s="45"/>
      <c r="G97" s="48"/>
      <c r="H97" s="45"/>
      <c r="I97" s="45"/>
      <c r="J97" s="49"/>
      <c r="K97" s="45"/>
      <c r="L97" s="45"/>
      <c r="M97" s="49"/>
      <c r="N97" s="45"/>
      <c r="O97" s="45"/>
    </row>
    <row r="98" spans="1:15" ht="15">
      <c r="A98" s="50"/>
      <c r="B98" s="50"/>
      <c r="C98" s="51"/>
      <c r="D98" s="52"/>
      <c r="E98" s="46">
        <f t="shared" si="5"/>
        <v>0</v>
      </c>
      <c r="F98" s="50"/>
      <c r="G98" s="53"/>
      <c r="H98" s="50"/>
      <c r="I98" s="50"/>
      <c r="J98" s="54"/>
      <c r="K98" s="50"/>
      <c r="L98" s="50"/>
      <c r="M98" s="54"/>
      <c r="N98" s="50"/>
      <c r="O98" s="50"/>
    </row>
    <row r="99" spans="1:15" ht="15">
      <c r="A99" s="45"/>
      <c r="B99" s="45"/>
      <c r="C99" s="46"/>
      <c r="D99" s="47"/>
      <c r="E99" s="46">
        <f t="shared" si="5"/>
        <v>0</v>
      </c>
      <c r="F99" s="45"/>
      <c r="G99" s="48"/>
      <c r="H99" s="45"/>
      <c r="I99" s="45"/>
      <c r="J99" s="49"/>
      <c r="K99" s="45"/>
      <c r="L99" s="45"/>
      <c r="M99" s="49"/>
      <c r="N99" s="45"/>
      <c r="O99" s="45"/>
    </row>
    <row r="100" spans="1:15" ht="15">
      <c r="A100" s="50"/>
      <c r="B100" s="50"/>
      <c r="C100" s="51"/>
      <c r="D100" s="52"/>
      <c r="E100" s="46">
        <f t="shared" si="5"/>
        <v>0</v>
      </c>
      <c r="F100" s="50"/>
      <c r="G100" s="53"/>
      <c r="H100" s="50"/>
      <c r="I100" s="50"/>
      <c r="J100" s="54"/>
      <c r="K100" s="50"/>
      <c r="L100" s="50"/>
      <c r="M100" s="54"/>
      <c r="N100" s="50"/>
      <c r="O100" s="50"/>
    </row>
    <row r="101" spans="1:15" ht="15">
      <c r="A101" s="45"/>
      <c r="B101" s="45"/>
      <c r="C101" s="46"/>
      <c r="D101" s="47"/>
      <c r="E101" s="46">
        <f t="shared" si="5"/>
        <v>0</v>
      </c>
      <c r="F101" s="45"/>
      <c r="G101" s="48"/>
      <c r="H101" s="45"/>
      <c r="I101" s="45"/>
      <c r="J101" s="49"/>
      <c r="K101" s="45"/>
      <c r="L101" s="45"/>
      <c r="M101" s="49"/>
      <c r="N101" s="45"/>
      <c r="O101" s="45"/>
    </row>
    <row r="102" spans="1:15" ht="15">
      <c r="A102" s="50"/>
      <c r="B102" s="50"/>
      <c r="C102" s="51"/>
      <c r="D102" s="52"/>
      <c r="E102" s="46">
        <f t="shared" si="5"/>
        <v>0</v>
      </c>
      <c r="F102" s="50"/>
      <c r="G102" s="53"/>
      <c r="H102" s="50"/>
      <c r="I102" s="50"/>
      <c r="J102" s="54"/>
      <c r="K102" s="50"/>
      <c r="L102" s="50"/>
      <c r="M102" s="54"/>
      <c r="N102" s="50"/>
      <c r="O102" s="50"/>
    </row>
    <row r="103" spans="1:15" ht="15">
      <c r="A103" s="45"/>
      <c r="B103" s="45"/>
      <c r="C103" s="46"/>
      <c r="D103" s="47"/>
      <c r="E103" s="46">
        <f t="shared" si="5"/>
        <v>0</v>
      </c>
      <c r="F103" s="45"/>
      <c r="G103" s="48"/>
      <c r="H103" s="45"/>
      <c r="I103" s="45"/>
      <c r="J103" s="49"/>
      <c r="K103" s="45"/>
      <c r="L103" s="45"/>
      <c r="M103" s="49"/>
      <c r="N103" s="45"/>
      <c r="O103" s="45"/>
    </row>
    <row r="104" spans="1:15" ht="15">
      <c r="A104" s="50"/>
      <c r="B104" s="50"/>
      <c r="C104" s="51"/>
      <c r="D104" s="52"/>
      <c r="E104" s="46">
        <f t="shared" si="5"/>
        <v>0</v>
      </c>
      <c r="F104" s="50"/>
      <c r="G104" s="53"/>
      <c r="H104" s="50"/>
      <c r="I104" s="50"/>
      <c r="J104" s="54"/>
      <c r="K104" s="50"/>
      <c r="L104" s="50"/>
      <c r="M104" s="54"/>
      <c r="N104" s="50"/>
      <c r="O104" s="50"/>
    </row>
    <row r="105" spans="1:15" ht="15">
      <c r="A105" s="45"/>
      <c r="B105" s="45"/>
      <c r="C105" s="46"/>
      <c r="D105" s="47"/>
      <c r="E105" s="46">
        <f t="shared" si="5"/>
        <v>0</v>
      </c>
      <c r="F105" s="45"/>
      <c r="G105" s="48"/>
      <c r="H105" s="45"/>
      <c r="I105" s="45"/>
      <c r="J105" s="49"/>
      <c r="K105" s="45"/>
      <c r="L105" s="45"/>
      <c r="M105" s="49"/>
      <c r="N105" s="45"/>
      <c r="O105" s="45"/>
    </row>
    <row r="106" spans="1:15" ht="15">
      <c r="A106" s="50"/>
      <c r="B106" s="50"/>
      <c r="C106" s="51"/>
      <c r="D106" s="52"/>
      <c r="E106" s="46">
        <f t="shared" si="5"/>
        <v>0</v>
      </c>
      <c r="F106" s="50"/>
      <c r="G106" s="53"/>
      <c r="H106" s="50"/>
      <c r="I106" s="50"/>
      <c r="J106" s="54"/>
      <c r="K106" s="50"/>
      <c r="L106" s="50"/>
      <c r="M106" s="54"/>
      <c r="N106" s="50"/>
      <c r="O106" s="50"/>
    </row>
    <row r="107" spans="1:15" ht="15">
      <c r="A107" s="45"/>
      <c r="B107" s="45"/>
      <c r="C107" s="46"/>
      <c r="D107" s="47"/>
      <c r="E107" s="46">
        <f t="shared" ref="E107:E170" si="6">D107*C107</f>
        <v>0</v>
      </c>
      <c r="F107" s="45"/>
      <c r="G107" s="48"/>
      <c r="H107" s="45"/>
      <c r="I107" s="45"/>
      <c r="J107" s="49"/>
      <c r="K107" s="45"/>
      <c r="L107" s="45"/>
      <c r="M107" s="49"/>
      <c r="N107" s="45"/>
      <c r="O107" s="45"/>
    </row>
    <row r="108" spans="1:15" ht="15">
      <c r="A108" s="50"/>
      <c r="B108" s="50"/>
      <c r="C108" s="51"/>
      <c r="D108" s="52"/>
      <c r="E108" s="46">
        <f t="shared" si="6"/>
        <v>0</v>
      </c>
      <c r="F108" s="50"/>
      <c r="G108" s="53"/>
      <c r="H108" s="50"/>
      <c r="I108" s="50"/>
      <c r="J108" s="54"/>
      <c r="K108" s="50"/>
      <c r="L108" s="50"/>
      <c r="M108" s="54"/>
      <c r="N108" s="50"/>
      <c r="O108" s="50"/>
    </row>
    <row r="109" spans="1:15" ht="15">
      <c r="A109" s="45"/>
      <c r="B109" s="45"/>
      <c r="C109" s="46"/>
      <c r="D109" s="47"/>
      <c r="E109" s="46">
        <f t="shared" si="6"/>
        <v>0</v>
      </c>
      <c r="F109" s="45"/>
      <c r="G109" s="48"/>
      <c r="H109" s="45"/>
      <c r="I109" s="45"/>
      <c r="J109" s="49"/>
      <c r="K109" s="45"/>
      <c r="L109" s="45"/>
      <c r="M109" s="49"/>
      <c r="N109" s="45"/>
      <c r="O109" s="45"/>
    </row>
    <row r="110" spans="1:15" ht="15">
      <c r="A110" s="50"/>
      <c r="B110" s="50"/>
      <c r="C110" s="51"/>
      <c r="D110" s="52"/>
      <c r="E110" s="46">
        <f t="shared" si="6"/>
        <v>0</v>
      </c>
      <c r="F110" s="50"/>
      <c r="G110" s="53"/>
      <c r="H110" s="50"/>
      <c r="I110" s="50"/>
      <c r="J110" s="54"/>
      <c r="K110" s="50"/>
      <c r="L110" s="50"/>
      <c r="M110" s="54"/>
      <c r="N110" s="50"/>
      <c r="O110" s="50"/>
    </row>
    <row r="111" spans="1:15" ht="15">
      <c r="A111" s="45"/>
      <c r="B111" s="45"/>
      <c r="C111" s="46"/>
      <c r="D111" s="47"/>
      <c r="E111" s="46">
        <f t="shared" si="6"/>
        <v>0</v>
      </c>
      <c r="F111" s="45"/>
      <c r="G111" s="48"/>
      <c r="H111" s="45"/>
      <c r="I111" s="45"/>
      <c r="J111" s="49"/>
      <c r="K111" s="45"/>
      <c r="L111" s="45"/>
      <c r="M111" s="49"/>
      <c r="N111" s="45"/>
      <c r="O111" s="45"/>
    </row>
    <row r="112" spans="1:15" ht="15">
      <c r="A112" s="50"/>
      <c r="B112" s="50"/>
      <c r="C112" s="51"/>
      <c r="D112" s="52"/>
      <c r="E112" s="46">
        <f t="shared" si="6"/>
        <v>0</v>
      </c>
      <c r="F112" s="50"/>
      <c r="G112" s="53"/>
      <c r="H112" s="50"/>
      <c r="I112" s="50"/>
      <c r="J112" s="54"/>
      <c r="K112" s="50"/>
      <c r="L112" s="50"/>
      <c r="M112" s="54"/>
      <c r="N112" s="50"/>
      <c r="O112" s="50"/>
    </row>
    <row r="113" spans="1:15" ht="15">
      <c r="A113" s="45"/>
      <c r="B113" s="45"/>
      <c r="C113" s="46"/>
      <c r="D113" s="47"/>
      <c r="E113" s="46">
        <f t="shared" si="6"/>
        <v>0</v>
      </c>
      <c r="F113" s="45"/>
      <c r="G113" s="48"/>
      <c r="H113" s="45"/>
      <c r="I113" s="45"/>
      <c r="J113" s="49"/>
      <c r="K113" s="45"/>
      <c r="L113" s="45"/>
      <c r="M113" s="49"/>
      <c r="N113" s="45"/>
      <c r="O113" s="45"/>
    </row>
    <row r="114" spans="1:15" ht="15">
      <c r="A114" s="50"/>
      <c r="B114" s="50"/>
      <c r="C114" s="51"/>
      <c r="D114" s="52"/>
      <c r="E114" s="46">
        <f t="shared" si="6"/>
        <v>0</v>
      </c>
      <c r="F114" s="50"/>
      <c r="G114" s="53"/>
      <c r="H114" s="50"/>
      <c r="I114" s="50"/>
      <c r="J114" s="54"/>
      <c r="K114" s="50"/>
      <c r="L114" s="50"/>
      <c r="M114" s="54"/>
      <c r="N114" s="50"/>
      <c r="O114" s="50"/>
    </row>
    <row r="115" spans="1:15" ht="15">
      <c r="A115" s="45"/>
      <c r="B115" s="45"/>
      <c r="C115" s="46"/>
      <c r="D115" s="47"/>
      <c r="E115" s="46">
        <f t="shared" si="6"/>
        <v>0</v>
      </c>
      <c r="F115" s="45"/>
      <c r="G115" s="48"/>
      <c r="H115" s="45"/>
      <c r="I115" s="45"/>
      <c r="J115" s="49"/>
      <c r="K115" s="45"/>
      <c r="L115" s="45"/>
      <c r="M115" s="49"/>
      <c r="N115" s="45"/>
      <c r="O115" s="45"/>
    </row>
    <row r="116" spans="1:15" ht="15">
      <c r="A116" s="50"/>
      <c r="B116" s="50"/>
      <c r="C116" s="51"/>
      <c r="D116" s="52"/>
      <c r="E116" s="46">
        <f t="shared" si="6"/>
        <v>0</v>
      </c>
      <c r="F116" s="50"/>
      <c r="G116" s="53"/>
      <c r="H116" s="50"/>
      <c r="I116" s="50"/>
      <c r="J116" s="54"/>
      <c r="K116" s="50"/>
      <c r="L116" s="50"/>
      <c r="M116" s="54"/>
      <c r="N116" s="50"/>
      <c r="O116" s="50"/>
    </row>
    <row r="117" spans="1:15" ht="15">
      <c r="A117" s="45"/>
      <c r="B117" s="45"/>
      <c r="C117" s="46"/>
      <c r="D117" s="47"/>
      <c r="E117" s="46">
        <f t="shared" si="6"/>
        <v>0</v>
      </c>
      <c r="F117" s="45"/>
      <c r="G117" s="48"/>
      <c r="H117" s="45"/>
      <c r="I117" s="45"/>
      <c r="J117" s="49"/>
      <c r="K117" s="45"/>
      <c r="L117" s="45"/>
      <c r="M117" s="49"/>
      <c r="N117" s="45"/>
      <c r="O117" s="45"/>
    </row>
    <row r="118" spans="1:15" ht="15">
      <c r="A118" s="50"/>
      <c r="B118" s="50"/>
      <c r="C118" s="51"/>
      <c r="D118" s="52"/>
      <c r="E118" s="46">
        <f t="shared" si="6"/>
        <v>0</v>
      </c>
      <c r="F118" s="50"/>
      <c r="G118" s="53"/>
      <c r="H118" s="50"/>
      <c r="I118" s="50"/>
      <c r="J118" s="54"/>
      <c r="K118" s="50"/>
      <c r="L118" s="50"/>
      <c r="M118" s="54"/>
      <c r="N118" s="50"/>
      <c r="O118" s="50"/>
    </row>
    <row r="119" spans="1:15" ht="15">
      <c r="A119" s="45"/>
      <c r="B119" s="45"/>
      <c r="C119" s="46"/>
      <c r="D119" s="47"/>
      <c r="E119" s="46">
        <f t="shared" si="6"/>
        <v>0</v>
      </c>
      <c r="F119" s="45"/>
      <c r="G119" s="48"/>
      <c r="H119" s="45"/>
      <c r="I119" s="45"/>
      <c r="J119" s="49"/>
      <c r="K119" s="45"/>
      <c r="L119" s="45"/>
      <c r="M119" s="49"/>
      <c r="N119" s="45"/>
      <c r="O119" s="45"/>
    </row>
    <row r="120" spans="1:15" ht="15">
      <c r="A120" s="50"/>
      <c r="B120" s="50"/>
      <c r="C120" s="51"/>
      <c r="D120" s="52"/>
      <c r="E120" s="46">
        <f t="shared" si="6"/>
        <v>0</v>
      </c>
      <c r="F120" s="50"/>
      <c r="G120" s="53"/>
      <c r="H120" s="50"/>
      <c r="I120" s="50"/>
      <c r="J120" s="54"/>
      <c r="K120" s="50"/>
      <c r="L120" s="50"/>
      <c r="M120" s="54"/>
      <c r="N120" s="50"/>
      <c r="O120" s="50"/>
    </row>
    <row r="121" spans="1:15" ht="15">
      <c r="A121" s="45"/>
      <c r="B121" s="45"/>
      <c r="C121" s="46"/>
      <c r="D121" s="47"/>
      <c r="E121" s="46">
        <f t="shared" si="6"/>
        <v>0</v>
      </c>
      <c r="F121" s="45"/>
      <c r="G121" s="48"/>
      <c r="H121" s="45"/>
      <c r="I121" s="45"/>
      <c r="J121" s="49"/>
      <c r="K121" s="45"/>
      <c r="L121" s="45"/>
      <c r="M121" s="49"/>
      <c r="N121" s="45"/>
      <c r="O121" s="45"/>
    </row>
    <row r="122" spans="1:15" ht="15">
      <c r="A122" s="50"/>
      <c r="B122" s="50"/>
      <c r="C122" s="51"/>
      <c r="D122" s="52"/>
      <c r="E122" s="46">
        <f t="shared" si="6"/>
        <v>0</v>
      </c>
      <c r="F122" s="50"/>
      <c r="G122" s="53"/>
      <c r="H122" s="50"/>
      <c r="I122" s="50"/>
      <c r="J122" s="54"/>
      <c r="K122" s="50"/>
      <c r="L122" s="50"/>
      <c r="M122" s="54"/>
      <c r="N122" s="50"/>
      <c r="O122" s="50"/>
    </row>
    <row r="123" spans="1:15" ht="15">
      <c r="A123" s="45"/>
      <c r="B123" s="45"/>
      <c r="C123" s="46"/>
      <c r="D123" s="47"/>
      <c r="E123" s="46">
        <f t="shared" si="6"/>
        <v>0</v>
      </c>
      <c r="F123" s="45"/>
      <c r="G123" s="48"/>
      <c r="H123" s="45"/>
      <c r="I123" s="45"/>
      <c r="J123" s="49"/>
      <c r="K123" s="45"/>
      <c r="L123" s="45"/>
      <c r="M123" s="49"/>
      <c r="N123" s="45"/>
      <c r="O123" s="45"/>
    </row>
    <row r="124" spans="1:15" ht="15">
      <c r="A124" s="50"/>
      <c r="B124" s="50"/>
      <c r="C124" s="51"/>
      <c r="D124" s="52"/>
      <c r="E124" s="46">
        <f t="shared" si="6"/>
        <v>0</v>
      </c>
      <c r="F124" s="50"/>
      <c r="G124" s="53"/>
      <c r="H124" s="50"/>
      <c r="I124" s="50"/>
      <c r="J124" s="54"/>
      <c r="K124" s="50"/>
      <c r="L124" s="50"/>
      <c r="M124" s="54"/>
      <c r="N124" s="50"/>
      <c r="O124" s="50"/>
    </row>
    <row r="125" spans="1:15" ht="15">
      <c r="A125" s="45"/>
      <c r="B125" s="45"/>
      <c r="C125" s="46"/>
      <c r="D125" s="47"/>
      <c r="E125" s="46">
        <f t="shared" si="6"/>
        <v>0</v>
      </c>
      <c r="F125" s="45"/>
      <c r="G125" s="48"/>
      <c r="H125" s="45"/>
      <c r="I125" s="45"/>
      <c r="J125" s="49"/>
      <c r="K125" s="45"/>
      <c r="L125" s="45"/>
      <c r="M125" s="49"/>
      <c r="N125" s="45"/>
      <c r="O125" s="45"/>
    </row>
    <row r="126" spans="1:15" ht="15">
      <c r="A126" s="50"/>
      <c r="B126" s="50"/>
      <c r="C126" s="51"/>
      <c r="D126" s="52"/>
      <c r="E126" s="46">
        <f t="shared" si="6"/>
        <v>0</v>
      </c>
      <c r="F126" s="50"/>
      <c r="G126" s="53"/>
      <c r="H126" s="50"/>
      <c r="I126" s="50"/>
      <c r="J126" s="54"/>
      <c r="K126" s="50"/>
      <c r="L126" s="50"/>
      <c r="M126" s="54"/>
      <c r="N126" s="50"/>
      <c r="O126" s="50"/>
    </row>
    <row r="127" spans="1:15" ht="15">
      <c r="A127" s="45"/>
      <c r="B127" s="45"/>
      <c r="C127" s="46"/>
      <c r="D127" s="47"/>
      <c r="E127" s="46">
        <f t="shared" si="6"/>
        <v>0</v>
      </c>
      <c r="F127" s="45"/>
      <c r="G127" s="48"/>
      <c r="H127" s="45"/>
      <c r="I127" s="45"/>
      <c r="J127" s="49"/>
      <c r="K127" s="45"/>
      <c r="L127" s="45"/>
      <c r="M127" s="49"/>
      <c r="N127" s="45"/>
      <c r="O127" s="45"/>
    </row>
    <row r="128" spans="1:15" ht="15">
      <c r="A128" s="50"/>
      <c r="B128" s="50"/>
      <c r="C128" s="51"/>
      <c r="D128" s="52"/>
      <c r="E128" s="46">
        <f t="shared" si="6"/>
        <v>0</v>
      </c>
      <c r="F128" s="50"/>
      <c r="G128" s="53"/>
      <c r="H128" s="50"/>
      <c r="I128" s="50"/>
      <c r="J128" s="54"/>
      <c r="K128" s="50"/>
      <c r="L128" s="50"/>
      <c r="M128" s="54"/>
      <c r="N128" s="50"/>
      <c r="O128" s="50"/>
    </row>
    <row r="129" spans="1:15" ht="15">
      <c r="A129" s="45"/>
      <c r="B129" s="45"/>
      <c r="C129" s="46"/>
      <c r="D129" s="47"/>
      <c r="E129" s="46">
        <f t="shared" si="6"/>
        <v>0</v>
      </c>
      <c r="F129" s="45"/>
      <c r="G129" s="48"/>
      <c r="H129" s="45"/>
      <c r="I129" s="45"/>
      <c r="J129" s="49"/>
      <c r="K129" s="45"/>
      <c r="L129" s="45"/>
      <c r="M129" s="49"/>
      <c r="N129" s="45"/>
      <c r="O129" s="45"/>
    </row>
    <row r="130" spans="1:15" ht="15">
      <c r="A130" s="50"/>
      <c r="B130" s="50"/>
      <c r="C130" s="51"/>
      <c r="D130" s="52"/>
      <c r="E130" s="46">
        <f t="shared" si="6"/>
        <v>0</v>
      </c>
      <c r="F130" s="50"/>
      <c r="G130" s="53"/>
      <c r="H130" s="50"/>
      <c r="I130" s="50"/>
      <c r="J130" s="54"/>
      <c r="K130" s="50"/>
      <c r="L130" s="50"/>
      <c r="M130" s="54"/>
      <c r="N130" s="50"/>
      <c r="O130" s="50"/>
    </row>
    <row r="131" spans="1:15" ht="15">
      <c r="A131" s="45"/>
      <c r="B131" s="45"/>
      <c r="C131" s="46"/>
      <c r="D131" s="47"/>
      <c r="E131" s="46">
        <f t="shared" si="6"/>
        <v>0</v>
      </c>
      <c r="F131" s="45"/>
      <c r="G131" s="48"/>
      <c r="H131" s="45"/>
      <c r="I131" s="45"/>
      <c r="J131" s="49"/>
      <c r="K131" s="45"/>
      <c r="L131" s="45"/>
      <c r="M131" s="49"/>
      <c r="N131" s="45"/>
      <c r="O131" s="45"/>
    </row>
    <row r="132" spans="1:15" ht="15">
      <c r="A132" s="50"/>
      <c r="B132" s="50"/>
      <c r="C132" s="51"/>
      <c r="D132" s="52"/>
      <c r="E132" s="46">
        <f t="shared" si="6"/>
        <v>0</v>
      </c>
      <c r="F132" s="50"/>
      <c r="G132" s="53"/>
      <c r="H132" s="50"/>
      <c r="I132" s="50"/>
      <c r="J132" s="54"/>
      <c r="K132" s="50"/>
      <c r="L132" s="50"/>
      <c r="M132" s="54"/>
      <c r="N132" s="50"/>
      <c r="O132" s="50"/>
    </row>
    <row r="133" spans="1:15" ht="15">
      <c r="A133" s="45"/>
      <c r="B133" s="45"/>
      <c r="C133" s="46"/>
      <c r="D133" s="47"/>
      <c r="E133" s="46">
        <f t="shared" si="6"/>
        <v>0</v>
      </c>
      <c r="F133" s="45"/>
      <c r="G133" s="48"/>
      <c r="H133" s="45"/>
      <c r="I133" s="45"/>
      <c r="J133" s="49"/>
      <c r="K133" s="45"/>
      <c r="L133" s="45"/>
      <c r="M133" s="49"/>
      <c r="N133" s="45"/>
      <c r="O133" s="45"/>
    </row>
    <row r="134" spans="1:15" ht="15">
      <c r="A134" s="50"/>
      <c r="B134" s="50"/>
      <c r="C134" s="51"/>
      <c r="D134" s="52"/>
      <c r="E134" s="46">
        <f t="shared" si="6"/>
        <v>0</v>
      </c>
      <c r="F134" s="50"/>
      <c r="G134" s="53"/>
      <c r="H134" s="50"/>
      <c r="I134" s="50"/>
      <c r="J134" s="54"/>
      <c r="K134" s="50"/>
      <c r="L134" s="50"/>
      <c r="M134" s="54"/>
      <c r="N134" s="50"/>
      <c r="O134" s="50"/>
    </row>
    <row r="135" spans="1:15" ht="15">
      <c r="A135" s="45"/>
      <c r="B135" s="45"/>
      <c r="C135" s="46"/>
      <c r="D135" s="47"/>
      <c r="E135" s="46">
        <f t="shared" si="6"/>
        <v>0</v>
      </c>
      <c r="F135" s="45"/>
      <c r="G135" s="48"/>
      <c r="H135" s="45"/>
      <c r="I135" s="45"/>
      <c r="J135" s="49"/>
      <c r="K135" s="45"/>
      <c r="L135" s="45"/>
      <c r="M135" s="49"/>
      <c r="N135" s="45"/>
      <c r="O135" s="45"/>
    </row>
    <row r="136" spans="1:15" ht="15">
      <c r="A136" s="50"/>
      <c r="B136" s="50"/>
      <c r="C136" s="51"/>
      <c r="D136" s="52"/>
      <c r="E136" s="46">
        <f t="shared" si="6"/>
        <v>0</v>
      </c>
      <c r="F136" s="50"/>
      <c r="G136" s="53"/>
      <c r="H136" s="50"/>
      <c r="I136" s="50"/>
      <c r="J136" s="54"/>
      <c r="K136" s="50"/>
      <c r="L136" s="50"/>
      <c r="M136" s="54"/>
      <c r="N136" s="50"/>
      <c r="O136" s="50"/>
    </row>
    <row r="137" spans="1:15" ht="15">
      <c r="A137" s="45"/>
      <c r="B137" s="45"/>
      <c r="C137" s="46"/>
      <c r="D137" s="47"/>
      <c r="E137" s="46">
        <f t="shared" si="6"/>
        <v>0</v>
      </c>
      <c r="F137" s="45"/>
      <c r="G137" s="48"/>
      <c r="H137" s="45"/>
      <c r="I137" s="45"/>
      <c r="J137" s="49"/>
      <c r="K137" s="45"/>
      <c r="L137" s="45"/>
      <c r="M137" s="49"/>
      <c r="N137" s="45"/>
      <c r="O137" s="45"/>
    </row>
    <row r="138" spans="1:15" ht="15">
      <c r="A138" s="50"/>
      <c r="B138" s="50"/>
      <c r="C138" s="51"/>
      <c r="D138" s="52"/>
      <c r="E138" s="46">
        <f t="shared" si="6"/>
        <v>0</v>
      </c>
      <c r="F138" s="50"/>
      <c r="G138" s="53"/>
      <c r="H138" s="50"/>
      <c r="I138" s="50"/>
      <c r="J138" s="54"/>
      <c r="K138" s="50"/>
      <c r="L138" s="50"/>
      <c r="M138" s="54"/>
      <c r="N138" s="50"/>
      <c r="O138" s="50"/>
    </row>
    <row r="139" spans="1:15" ht="15">
      <c r="A139" s="45"/>
      <c r="B139" s="45"/>
      <c r="C139" s="46"/>
      <c r="D139" s="47"/>
      <c r="E139" s="46">
        <f t="shared" si="6"/>
        <v>0</v>
      </c>
      <c r="F139" s="45"/>
      <c r="G139" s="48"/>
      <c r="H139" s="45"/>
      <c r="I139" s="45"/>
      <c r="J139" s="49"/>
      <c r="K139" s="45"/>
      <c r="L139" s="45"/>
      <c r="M139" s="49"/>
      <c r="N139" s="45"/>
      <c r="O139" s="45"/>
    </row>
    <row r="140" spans="1:15" ht="15">
      <c r="A140" s="50"/>
      <c r="B140" s="50"/>
      <c r="C140" s="51"/>
      <c r="D140" s="52"/>
      <c r="E140" s="46">
        <f t="shared" si="6"/>
        <v>0</v>
      </c>
      <c r="F140" s="50"/>
      <c r="G140" s="53"/>
      <c r="H140" s="50"/>
      <c r="I140" s="50"/>
      <c r="J140" s="54"/>
      <c r="K140" s="50"/>
      <c r="L140" s="50"/>
      <c r="M140" s="54"/>
      <c r="N140" s="50"/>
      <c r="O140" s="50"/>
    </row>
    <row r="141" spans="1:15" ht="15">
      <c r="A141" s="45"/>
      <c r="B141" s="45"/>
      <c r="C141" s="46"/>
      <c r="D141" s="47"/>
      <c r="E141" s="46">
        <f t="shared" si="6"/>
        <v>0</v>
      </c>
      <c r="F141" s="45"/>
      <c r="G141" s="48"/>
      <c r="H141" s="45"/>
      <c r="I141" s="45"/>
      <c r="J141" s="49"/>
      <c r="K141" s="45"/>
      <c r="L141" s="45"/>
      <c r="M141" s="49"/>
      <c r="N141" s="45"/>
      <c r="O141" s="45"/>
    </row>
    <row r="142" spans="1:15" ht="15">
      <c r="A142" s="50"/>
      <c r="B142" s="50"/>
      <c r="C142" s="51"/>
      <c r="D142" s="52"/>
      <c r="E142" s="46">
        <f t="shared" si="6"/>
        <v>0</v>
      </c>
      <c r="F142" s="50"/>
      <c r="G142" s="53"/>
      <c r="H142" s="50"/>
      <c r="I142" s="50"/>
      <c r="J142" s="54"/>
      <c r="K142" s="50"/>
      <c r="L142" s="50"/>
      <c r="M142" s="54"/>
      <c r="N142" s="50"/>
      <c r="O142" s="50"/>
    </row>
    <row r="143" spans="1:15" ht="15">
      <c r="A143" s="45"/>
      <c r="B143" s="45"/>
      <c r="C143" s="46"/>
      <c r="D143" s="47"/>
      <c r="E143" s="46">
        <f t="shared" si="6"/>
        <v>0</v>
      </c>
      <c r="F143" s="45"/>
      <c r="G143" s="48"/>
      <c r="H143" s="45"/>
      <c r="I143" s="45"/>
      <c r="J143" s="49"/>
      <c r="K143" s="45"/>
      <c r="L143" s="45"/>
      <c r="M143" s="49"/>
      <c r="N143" s="45"/>
      <c r="O143" s="45"/>
    </row>
    <row r="144" spans="1:15" ht="15">
      <c r="A144" s="50"/>
      <c r="B144" s="50"/>
      <c r="C144" s="51"/>
      <c r="D144" s="52"/>
      <c r="E144" s="46">
        <f t="shared" si="6"/>
        <v>0</v>
      </c>
      <c r="F144" s="50"/>
      <c r="G144" s="53"/>
      <c r="H144" s="50"/>
      <c r="I144" s="50"/>
      <c r="J144" s="54"/>
      <c r="K144" s="50"/>
      <c r="L144" s="50"/>
      <c r="M144" s="54"/>
      <c r="N144" s="50"/>
      <c r="O144" s="50"/>
    </row>
    <row r="145" spans="1:15" ht="15">
      <c r="A145" s="45"/>
      <c r="B145" s="45"/>
      <c r="C145" s="46"/>
      <c r="D145" s="47"/>
      <c r="E145" s="46">
        <f t="shared" si="6"/>
        <v>0</v>
      </c>
      <c r="F145" s="45"/>
      <c r="G145" s="48"/>
      <c r="H145" s="45"/>
      <c r="I145" s="45"/>
      <c r="J145" s="49"/>
      <c r="K145" s="45"/>
      <c r="L145" s="45"/>
      <c r="M145" s="49"/>
      <c r="N145" s="45"/>
      <c r="O145" s="45"/>
    </row>
    <row r="146" spans="1:15" ht="15">
      <c r="A146" s="50"/>
      <c r="B146" s="50"/>
      <c r="C146" s="51"/>
      <c r="D146" s="52"/>
      <c r="E146" s="46">
        <f t="shared" si="6"/>
        <v>0</v>
      </c>
      <c r="F146" s="50"/>
      <c r="G146" s="53"/>
      <c r="H146" s="50"/>
      <c r="I146" s="50"/>
      <c r="J146" s="54"/>
      <c r="K146" s="50"/>
      <c r="L146" s="50"/>
      <c r="M146" s="54"/>
      <c r="N146" s="50"/>
      <c r="O146" s="50"/>
    </row>
    <row r="147" spans="1:15" ht="15">
      <c r="A147" s="45"/>
      <c r="B147" s="45"/>
      <c r="C147" s="46"/>
      <c r="D147" s="47"/>
      <c r="E147" s="46">
        <f t="shared" si="6"/>
        <v>0</v>
      </c>
      <c r="F147" s="45"/>
      <c r="G147" s="48"/>
      <c r="H147" s="45"/>
      <c r="I147" s="45"/>
      <c r="J147" s="49"/>
      <c r="K147" s="45"/>
      <c r="L147" s="45"/>
      <c r="M147" s="49"/>
      <c r="N147" s="45"/>
      <c r="O147" s="45"/>
    </row>
    <row r="148" spans="1:15" ht="15">
      <c r="A148" s="50"/>
      <c r="B148" s="50"/>
      <c r="C148" s="51"/>
      <c r="D148" s="52"/>
      <c r="E148" s="46">
        <f t="shared" si="6"/>
        <v>0</v>
      </c>
      <c r="F148" s="50"/>
      <c r="G148" s="53"/>
      <c r="H148" s="50"/>
      <c r="I148" s="50"/>
      <c r="J148" s="54"/>
      <c r="K148" s="50"/>
      <c r="L148" s="50"/>
      <c r="M148" s="54"/>
      <c r="N148" s="50"/>
      <c r="O148" s="50"/>
    </row>
    <row r="149" spans="1:15" ht="15">
      <c r="A149" s="45"/>
      <c r="B149" s="45"/>
      <c r="C149" s="46"/>
      <c r="D149" s="47"/>
      <c r="E149" s="46">
        <f t="shared" si="6"/>
        <v>0</v>
      </c>
      <c r="F149" s="45"/>
      <c r="G149" s="48"/>
      <c r="H149" s="45"/>
      <c r="I149" s="45"/>
      <c r="J149" s="49"/>
      <c r="K149" s="45"/>
      <c r="L149" s="45"/>
      <c r="M149" s="49"/>
      <c r="N149" s="45"/>
      <c r="O149" s="45"/>
    </row>
    <row r="150" spans="1:15" ht="15">
      <c r="A150" s="50"/>
      <c r="B150" s="50"/>
      <c r="C150" s="51"/>
      <c r="D150" s="52"/>
      <c r="E150" s="46">
        <f t="shared" si="6"/>
        <v>0</v>
      </c>
      <c r="F150" s="50"/>
      <c r="G150" s="53"/>
      <c r="H150" s="50"/>
      <c r="I150" s="50"/>
      <c r="J150" s="54"/>
      <c r="K150" s="50"/>
      <c r="L150" s="50"/>
      <c r="M150" s="54"/>
      <c r="N150" s="50"/>
      <c r="O150" s="50"/>
    </row>
    <row r="151" spans="1:15" ht="15">
      <c r="A151" s="45"/>
      <c r="B151" s="45"/>
      <c r="C151" s="46"/>
      <c r="D151" s="47"/>
      <c r="E151" s="46">
        <f t="shared" si="6"/>
        <v>0</v>
      </c>
      <c r="F151" s="45"/>
      <c r="G151" s="48"/>
      <c r="H151" s="45"/>
      <c r="I151" s="45"/>
      <c r="J151" s="49"/>
      <c r="K151" s="45"/>
      <c r="L151" s="45"/>
      <c r="M151" s="49"/>
      <c r="N151" s="45"/>
      <c r="O151" s="45"/>
    </row>
    <row r="152" spans="1:15" ht="15">
      <c r="A152" s="50"/>
      <c r="B152" s="50"/>
      <c r="C152" s="51"/>
      <c r="D152" s="52"/>
      <c r="E152" s="46">
        <f t="shared" si="6"/>
        <v>0</v>
      </c>
      <c r="F152" s="50"/>
      <c r="G152" s="53"/>
      <c r="H152" s="50"/>
      <c r="I152" s="50"/>
      <c r="J152" s="54"/>
      <c r="K152" s="50"/>
      <c r="L152" s="50"/>
      <c r="M152" s="54"/>
      <c r="N152" s="50"/>
      <c r="O152" s="50"/>
    </row>
    <row r="153" spans="1:15" ht="15">
      <c r="A153" s="45"/>
      <c r="B153" s="45"/>
      <c r="C153" s="46"/>
      <c r="D153" s="47"/>
      <c r="E153" s="46">
        <f t="shared" si="6"/>
        <v>0</v>
      </c>
      <c r="F153" s="45"/>
      <c r="G153" s="48"/>
      <c r="H153" s="45"/>
      <c r="I153" s="45"/>
      <c r="J153" s="49"/>
      <c r="K153" s="45"/>
      <c r="L153" s="45"/>
      <c r="M153" s="49"/>
      <c r="N153" s="45"/>
      <c r="O153" s="45"/>
    </row>
    <row r="154" spans="1:15" ht="15">
      <c r="A154" s="50"/>
      <c r="B154" s="50"/>
      <c r="C154" s="51"/>
      <c r="D154" s="52"/>
      <c r="E154" s="46">
        <f t="shared" si="6"/>
        <v>0</v>
      </c>
      <c r="F154" s="50"/>
      <c r="G154" s="53"/>
      <c r="H154" s="50"/>
      <c r="I154" s="50"/>
      <c r="J154" s="54"/>
      <c r="K154" s="50"/>
      <c r="L154" s="50"/>
      <c r="M154" s="54"/>
      <c r="N154" s="50"/>
      <c r="O154" s="50"/>
    </row>
    <row r="155" spans="1:15" ht="15">
      <c r="A155" s="45"/>
      <c r="B155" s="45"/>
      <c r="C155" s="46"/>
      <c r="D155" s="47"/>
      <c r="E155" s="46">
        <f t="shared" si="6"/>
        <v>0</v>
      </c>
      <c r="F155" s="45"/>
      <c r="G155" s="48"/>
      <c r="H155" s="45"/>
      <c r="I155" s="45"/>
      <c r="J155" s="49"/>
      <c r="K155" s="45"/>
      <c r="L155" s="45"/>
      <c r="M155" s="49"/>
      <c r="N155" s="45"/>
      <c r="O155" s="45"/>
    </row>
    <row r="156" spans="1:15" ht="15">
      <c r="A156" s="50"/>
      <c r="B156" s="50"/>
      <c r="C156" s="51"/>
      <c r="D156" s="52"/>
      <c r="E156" s="46">
        <f t="shared" si="6"/>
        <v>0</v>
      </c>
      <c r="F156" s="50"/>
      <c r="G156" s="53"/>
      <c r="H156" s="50"/>
      <c r="I156" s="50"/>
      <c r="J156" s="54"/>
      <c r="K156" s="50"/>
      <c r="L156" s="50"/>
      <c r="M156" s="54"/>
      <c r="N156" s="50"/>
      <c r="O156" s="50"/>
    </row>
    <row r="157" spans="1:15" ht="15">
      <c r="A157" s="45"/>
      <c r="B157" s="45"/>
      <c r="C157" s="46"/>
      <c r="D157" s="47"/>
      <c r="E157" s="46">
        <f t="shared" si="6"/>
        <v>0</v>
      </c>
      <c r="F157" s="45"/>
      <c r="G157" s="48"/>
      <c r="H157" s="45"/>
      <c r="I157" s="45"/>
      <c r="J157" s="49"/>
      <c r="K157" s="45"/>
      <c r="L157" s="45"/>
      <c r="M157" s="49"/>
      <c r="N157" s="45"/>
      <c r="O157" s="45"/>
    </row>
    <row r="158" spans="1:15" ht="15">
      <c r="A158" s="50"/>
      <c r="B158" s="50"/>
      <c r="C158" s="51"/>
      <c r="D158" s="52"/>
      <c r="E158" s="46">
        <f t="shared" si="6"/>
        <v>0</v>
      </c>
      <c r="F158" s="50"/>
      <c r="G158" s="53"/>
      <c r="H158" s="50"/>
      <c r="I158" s="50"/>
      <c r="J158" s="54"/>
      <c r="K158" s="50"/>
      <c r="L158" s="50"/>
      <c r="M158" s="54"/>
      <c r="N158" s="50"/>
      <c r="O158" s="50"/>
    </row>
    <row r="159" spans="1:15" ht="15">
      <c r="A159" s="45"/>
      <c r="B159" s="45"/>
      <c r="C159" s="46"/>
      <c r="D159" s="47"/>
      <c r="E159" s="46">
        <f t="shared" si="6"/>
        <v>0</v>
      </c>
      <c r="F159" s="45"/>
      <c r="G159" s="48"/>
      <c r="H159" s="45"/>
      <c r="I159" s="45"/>
      <c r="J159" s="49"/>
      <c r="K159" s="45"/>
      <c r="L159" s="45"/>
      <c r="M159" s="49"/>
      <c r="N159" s="45"/>
      <c r="O159" s="45"/>
    </row>
    <row r="160" spans="1:15" ht="15">
      <c r="A160" s="50"/>
      <c r="B160" s="50"/>
      <c r="C160" s="51"/>
      <c r="D160" s="52"/>
      <c r="E160" s="46">
        <f t="shared" si="6"/>
        <v>0</v>
      </c>
      <c r="F160" s="50"/>
      <c r="G160" s="53"/>
      <c r="H160" s="50"/>
      <c r="I160" s="50"/>
      <c r="J160" s="54"/>
      <c r="K160" s="50"/>
      <c r="L160" s="50"/>
      <c r="M160" s="54"/>
      <c r="N160" s="50"/>
      <c r="O160" s="50"/>
    </row>
    <row r="161" spans="1:15" ht="15">
      <c r="A161" s="45"/>
      <c r="B161" s="45"/>
      <c r="C161" s="46"/>
      <c r="D161" s="47"/>
      <c r="E161" s="46">
        <f t="shared" si="6"/>
        <v>0</v>
      </c>
      <c r="F161" s="45"/>
      <c r="G161" s="48"/>
      <c r="H161" s="45"/>
      <c r="I161" s="45"/>
      <c r="J161" s="49"/>
      <c r="K161" s="45"/>
      <c r="L161" s="45"/>
      <c r="M161" s="49"/>
      <c r="N161" s="45"/>
      <c r="O161" s="45"/>
    </row>
    <row r="162" spans="1:15" ht="15">
      <c r="A162" s="50"/>
      <c r="B162" s="50"/>
      <c r="C162" s="51"/>
      <c r="D162" s="52"/>
      <c r="E162" s="46">
        <f t="shared" si="6"/>
        <v>0</v>
      </c>
      <c r="F162" s="50"/>
      <c r="G162" s="53"/>
      <c r="H162" s="50"/>
      <c r="I162" s="50"/>
      <c r="J162" s="54"/>
      <c r="K162" s="50"/>
      <c r="L162" s="50"/>
      <c r="M162" s="54"/>
      <c r="N162" s="50"/>
      <c r="O162" s="50"/>
    </row>
    <row r="163" spans="1:15" ht="15">
      <c r="A163" s="45"/>
      <c r="B163" s="45"/>
      <c r="C163" s="46"/>
      <c r="D163" s="47"/>
      <c r="E163" s="46">
        <f t="shared" si="6"/>
        <v>0</v>
      </c>
      <c r="F163" s="45"/>
      <c r="G163" s="48"/>
      <c r="H163" s="45"/>
      <c r="I163" s="45"/>
      <c r="J163" s="49"/>
      <c r="K163" s="45"/>
      <c r="L163" s="45"/>
      <c r="M163" s="49"/>
      <c r="N163" s="45"/>
      <c r="O163" s="45"/>
    </row>
    <row r="164" spans="1:15" ht="15">
      <c r="A164" s="50"/>
      <c r="B164" s="50"/>
      <c r="C164" s="51"/>
      <c r="D164" s="52"/>
      <c r="E164" s="46">
        <f t="shared" si="6"/>
        <v>0</v>
      </c>
      <c r="F164" s="50"/>
      <c r="G164" s="53"/>
      <c r="H164" s="50"/>
      <c r="I164" s="50"/>
      <c r="J164" s="54"/>
      <c r="K164" s="50"/>
      <c r="L164" s="50"/>
      <c r="M164" s="54"/>
      <c r="N164" s="50"/>
      <c r="O164" s="50"/>
    </row>
    <row r="165" spans="1:15" ht="15">
      <c r="A165" s="45"/>
      <c r="B165" s="45"/>
      <c r="C165" s="46"/>
      <c r="D165" s="47"/>
      <c r="E165" s="46">
        <f t="shared" si="6"/>
        <v>0</v>
      </c>
      <c r="F165" s="45"/>
      <c r="G165" s="48"/>
      <c r="H165" s="45"/>
      <c r="I165" s="45"/>
      <c r="J165" s="49"/>
      <c r="K165" s="45"/>
      <c r="L165" s="45"/>
      <c r="M165" s="49"/>
      <c r="N165" s="45"/>
      <c r="O165" s="45"/>
    </row>
    <row r="166" spans="1:15" ht="15">
      <c r="A166" s="50"/>
      <c r="B166" s="50"/>
      <c r="C166" s="51"/>
      <c r="D166" s="52"/>
      <c r="E166" s="46">
        <f t="shared" si="6"/>
        <v>0</v>
      </c>
      <c r="F166" s="50"/>
      <c r="G166" s="53"/>
      <c r="H166" s="50"/>
      <c r="I166" s="50"/>
      <c r="J166" s="54"/>
      <c r="K166" s="50"/>
      <c r="L166" s="50"/>
      <c r="M166" s="54"/>
      <c r="N166" s="50"/>
      <c r="O166" s="50"/>
    </row>
    <row r="167" spans="1:15" ht="15">
      <c r="A167" s="45"/>
      <c r="B167" s="45"/>
      <c r="C167" s="46"/>
      <c r="D167" s="47"/>
      <c r="E167" s="46">
        <f t="shared" si="6"/>
        <v>0</v>
      </c>
      <c r="F167" s="45"/>
      <c r="G167" s="48"/>
      <c r="H167" s="45"/>
      <c r="I167" s="45"/>
      <c r="J167" s="49"/>
      <c r="K167" s="45"/>
      <c r="L167" s="45"/>
      <c r="M167" s="49"/>
      <c r="N167" s="45"/>
      <c r="O167" s="45"/>
    </row>
    <row r="168" spans="1:15" ht="15">
      <c r="A168" s="50"/>
      <c r="B168" s="50"/>
      <c r="C168" s="51"/>
      <c r="D168" s="52"/>
      <c r="E168" s="46">
        <f t="shared" si="6"/>
        <v>0</v>
      </c>
      <c r="F168" s="50"/>
      <c r="G168" s="53"/>
      <c r="H168" s="50"/>
      <c r="I168" s="50"/>
      <c r="J168" s="54"/>
      <c r="K168" s="50"/>
      <c r="L168" s="50"/>
      <c r="M168" s="54"/>
      <c r="N168" s="50"/>
      <c r="O168" s="50"/>
    </row>
    <row r="169" spans="1:15" ht="15">
      <c r="A169" s="45"/>
      <c r="B169" s="45"/>
      <c r="C169" s="46"/>
      <c r="D169" s="47"/>
      <c r="E169" s="46">
        <f t="shared" si="6"/>
        <v>0</v>
      </c>
      <c r="F169" s="45"/>
      <c r="G169" s="48"/>
      <c r="H169" s="45"/>
      <c r="I169" s="45"/>
      <c r="J169" s="49"/>
      <c r="K169" s="45"/>
      <c r="L169" s="45"/>
      <c r="M169" s="49"/>
      <c r="N169" s="45"/>
      <c r="O169" s="45"/>
    </row>
    <row r="170" spans="1:15" ht="15">
      <c r="A170" s="50"/>
      <c r="B170" s="50"/>
      <c r="C170" s="51"/>
      <c r="D170" s="52"/>
      <c r="E170" s="46">
        <f t="shared" si="6"/>
        <v>0</v>
      </c>
      <c r="F170" s="50"/>
      <c r="G170" s="53"/>
      <c r="H170" s="50"/>
      <c r="I170" s="50"/>
      <c r="J170" s="54"/>
      <c r="K170" s="50"/>
      <c r="L170" s="50"/>
      <c r="M170" s="54"/>
      <c r="N170" s="50"/>
      <c r="O170" s="50"/>
    </row>
    <row r="171" spans="1:15" ht="15">
      <c r="A171" s="45"/>
      <c r="B171" s="45"/>
      <c r="C171" s="46"/>
      <c r="D171" s="47"/>
      <c r="E171" s="46">
        <f t="shared" ref="E171:E234" si="7">D171*C171</f>
        <v>0</v>
      </c>
      <c r="F171" s="45"/>
      <c r="G171" s="48"/>
      <c r="H171" s="45"/>
      <c r="I171" s="45"/>
      <c r="J171" s="49"/>
      <c r="K171" s="45"/>
      <c r="L171" s="45"/>
      <c r="M171" s="49"/>
      <c r="N171" s="45"/>
      <c r="O171" s="45"/>
    </row>
    <row r="172" spans="1:15" ht="15">
      <c r="A172" s="50"/>
      <c r="B172" s="50"/>
      <c r="C172" s="51"/>
      <c r="D172" s="52"/>
      <c r="E172" s="46">
        <f t="shared" si="7"/>
        <v>0</v>
      </c>
      <c r="F172" s="50"/>
      <c r="G172" s="53"/>
      <c r="H172" s="50"/>
      <c r="I172" s="50"/>
      <c r="J172" s="54"/>
      <c r="K172" s="50"/>
      <c r="L172" s="50"/>
      <c r="M172" s="54"/>
      <c r="N172" s="50"/>
      <c r="O172" s="50"/>
    </row>
    <row r="173" spans="1:15" ht="15">
      <c r="A173" s="45"/>
      <c r="B173" s="45"/>
      <c r="C173" s="46"/>
      <c r="D173" s="47"/>
      <c r="E173" s="46">
        <f t="shared" si="7"/>
        <v>0</v>
      </c>
      <c r="F173" s="45"/>
      <c r="G173" s="48"/>
      <c r="H173" s="45"/>
      <c r="I173" s="45"/>
      <c r="J173" s="49"/>
      <c r="K173" s="45"/>
      <c r="L173" s="45"/>
      <c r="M173" s="49"/>
      <c r="N173" s="45"/>
      <c r="O173" s="45"/>
    </row>
    <row r="174" spans="1:15" ht="15">
      <c r="A174" s="50"/>
      <c r="B174" s="50"/>
      <c r="C174" s="51"/>
      <c r="D174" s="52"/>
      <c r="E174" s="46">
        <f t="shared" si="7"/>
        <v>0</v>
      </c>
      <c r="F174" s="50"/>
      <c r="G174" s="53"/>
      <c r="H174" s="50"/>
      <c r="I174" s="50"/>
      <c r="J174" s="54"/>
      <c r="K174" s="50"/>
      <c r="L174" s="50"/>
      <c r="M174" s="54"/>
      <c r="N174" s="50"/>
      <c r="O174" s="50"/>
    </row>
    <row r="175" spans="1:15" ht="15">
      <c r="A175" s="45"/>
      <c r="B175" s="45"/>
      <c r="C175" s="46"/>
      <c r="D175" s="47"/>
      <c r="E175" s="46">
        <f t="shared" si="7"/>
        <v>0</v>
      </c>
      <c r="F175" s="45"/>
      <c r="G175" s="48"/>
      <c r="H175" s="45"/>
      <c r="I175" s="45"/>
      <c r="J175" s="49"/>
      <c r="K175" s="45"/>
      <c r="L175" s="45"/>
      <c r="M175" s="49"/>
      <c r="N175" s="45"/>
      <c r="O175" s="45"/>
    </row>
    <row r="176" spans="1:15" ht="15">
      <c r="A176" s="50"/>
      <c r="B176" s="50"/>
      <c r="C176" s="51"/>
      <c r="D176" s="52"/>
      <c r="E176" s="46">
        <f t="shared" si="7"/>
        <v>0</v>
      </c>
      <c r="F176" s="50"/>
      <c r="G176" s="53"/>
      <c r="H176" s="50"/>
      <c r="I176" s="50"/>
      <c r="J176" s="54"/>
      <c r="K176" s="50"/>
      <c r="L176" s="50"/>
      <c r="M176" s="54"/>
      <c r="N176" s="50"/>
      <c r="O176" s="50"/>
    </row>
    <row r="177" spans="1:15" ht="15">
      <c r="A177" s="45"/>
      <c r="B177" s="45"/>
      <c r="C177" s="46"/>
      <c r="D177" s="47"/>
      <c r="E177" s="46">
        <f t="shared" si="7"/>
        <v>0</v>
      </c>
      <c r="F177" s="45"/>
      <c r="G177" s="48"/>
      <c r="H177" s="45"/>
      <c r="I177" s="45"/>
      <c r="J177" s="49"/>
      <c r="K177" s="45"/>
      <c r="L177" s="45"/>
      <c r="M177" s="49"/>
      <c r="N177" s="45"/>
      <c r="O177" s="45"/>
    </row>
    <row r="178" spans="1:15" ht="15">
      <c r="A178" s="50"/>
      <c r="B178" s="50"/>
      <c r="C178" s="51"/>
      <c r="D178" s="52"/>
      <c r="E178" s="46">
        <f t="shared" si="7"/>
        <v>0</v>
      </c>
      <c r="F178" s="50"/>
      <c r="G178" s="53"/>
      <c r="H178" s="50"/>
      <c r="I178" s="50"/>
      <c r="J178" s="54"/>
      <c r="K178" s="50"/>
      <c r="L178" s="50"/>
      <c r="M178" s="54"/>
      <c r="N178" s="50"/>
      <c r="O178" s="50"/>
    </row>
    <row r="179" spans="1:15" ht="15">
      <c r="A179" s="45"/>
      <c r="B179" s="45"/>
      <c r="C179" s="46"/>
      <c r="D179" s="47"/>
      <c r="E179" s="46">
        <f t="shared" si="7"/>
        <v>0</v>
      </c>
      <c r="F179" s="45"/>
      <c r="G179" s="48"/>
      <c r="H179" s="45"/>
      <c r="I179" s="45"/>
      <c r="J179" s="49"/>
      <c r="K179" s="45"/>
      <c r="L179" s="45"/>
      <c r="M179" s="49"/>
      <c r="N179" s="45"/>
      <c r="O179" s="45"/>
    </row>
    <row r="180" spans="1:15" ht="15">
      <c r="A180" s="50"/>
      <c r="B180" s="50"/>
      <c r="C180" s="51"/>
      <c r="D180" s="52"/>
      <c r="E180" s="46">
        <f t="shared" si="7"/>
        <v>0</v>
      </c>
      <c r="F180" s="50"/>
      <c r="G180" s="53"/>
      <c r="H180" s="50"/>
      <c r="I180" s="50"/>
      <c r="J180" s="54"/>
      <c r="K180" s="50"/>
      <c r="L180" s="50"/>
      <c r="M180" s="54"/>
      <c r="N180" s="50"/>
      <c r="O180" s="50"/>
    </row>
    <row r="181" spans="1:15" ht="15">
      <c r="A181" s="45"/>
      <c r="B181" s="45"/>
      <c r="C181" s="46"/>
      <c r="D181" s="47"/>
      <c r="E181" s="46">
        <f t="shared" si="7"/>
        <v>0</v>
      </c>
      <c r="F181" s="45"/>
      <c r="G181" s="48"/>
      <c r="H181" s="45"/>
      <c r="I181" s="45"/>
      <c r="J181" s="49"/>
      <c r="K181" s="45"/>
      <c r="L181" s="45"/>
      <c r="M181" s="49"/>
      <c r="N181" s="45"/>
      <c r="O181" s="45"/>
    </row>
    <row r="182" spans="1:15" ht="15">
      <c r="A182" s="50"/>
      <c r="B182" s="50"/>
      <c r="C182" s="51"/>
      <c r="D182" s="52"/>
      <c r="E182" s="46">
        <f t="shared" si="7"/>
        <v>0</v>
      </c>
      <c r="F182" s="50"/>
      <c r="G182" s="53"/>
      <c r="H182" s="50"/>
      <c r="I182" s="50"/>
      <c r="J182" s="54"/>
      <c r="K182" s="50"/>
      <c r="L182" s="50"/>
      <c r="M182" s="54"/>
      <c r="N182" s="50"/>
      <c r="O182" s="50"/>
    </row>
    <row r="183" spans="1:15" ht="15">
      <c r="A183" s="45"/>
      <c r="B183" s="45"/>
      <c r="C183" s="46"/>
      <c r="D183" s="47"/>
      <c r="E183" s="46">
        <f t="shared" si="7"/>
        <v>0</v>
      </c>
      <c r="F183" s="45"/>
      <c r="G183" s="48"/>
      <c r="H183" s="45"/>
      <c r="I183" s="45"/>
      <c r="J183" s="49"/>
      <c r="K183" s="45"/>
      <c r="L183" s="45"/>
      <c r="M183" s="49"/>
      <c r="N183" s="45"/>
      <c r="O183" s="45"/>
    </row>
    <row r="184" spans="1:15" ht="15">
      <c r="A184" s="50"/>
      <c r="B184" s="50"/>
      <c r="C184" s="51"/>
      <c r="D184" s="52"/>
      <c r="E184" s="46">
        <f t="shared" si="7"/>
        <v>0</v>
      </c>
      <c r="F184" s="50"/>
      <c r="G184" s="53"/>
      <c r="H184" s="50"/>
      <c r="I184" s="50"/>
      <c r="J184" s="54"/>
      <c r="K184" s="50"/>
      <c r="L184" s="50"/>
      <c r="M184" s="54"/>
      <c r="N184" s="50"/>
      <c r="O184" s="50"/>
    </row>
    <row r="185" spans="1:15" ht="15">
      <c r="A185" s="45"/>
      <c r="B185" s="45"/>
      <c r="C185" s="46"/>
      <c r="D185" s="47"/>
      <c r="E185" s="46">
        <f t="shared" si="7"/>
        <v>0</v>
      </c>
      <c r="F185" s="45"/>
      <c r="G185" s="48"/>
      <c r="H185" s="45"/>
      <c r="I185" s="45"/>
      <c r="J185" s="49"/>
      <c r="K185" s="45"/>
      <c r="L185" s="45"/>
      <c r="M185" s="49"/>
      <c r="N185" s="45"/>
      <c r="O185" s="45"/>
    </row>
    <row r="186" spans="1:15" ht="15">
      <c r="A186" s="50"/>
      <c r="B186" s="50"/>
      <c r="C186" s="51"/>
      <c r="D186" s="52"/>
      <c r="E186" s="46">
        <f t="shared" si="7"/>
        <v>0</v>
      </c>
      <c r="F186" s="50"/>
      <c r="G186" s="53"/>
      <c r="H186" s="50"/>
      <c r="I186" s="50"/>
      <c r="J186" s="54"/>
      <c r="K186" s="50"/>
      <c r="L186" s="50"/>
      <c r="M186" s="54"/>
      <c r="N186" s="50"/>
      <c r="O186" s="50"/>
    </row>
    <row r="187" spans="1:15" ht="15">
      <c r="A187" s="45"/>
      <c r="B187" s="45"/>
      <c r="C187" s="46"/>
      <c r="D187" s="47"/>
      <c r="E187" s="46">
        <f t="shared" si="7"/>
        <v>0</v>
      </c>
      <c r="F187" s="45"/>
      <c r="G187" s="48"/>
      <c r="H187" s="45"/>
      <c r="I187" s="45"/>
      <c r="J187" s="49"/>
      <c r="K187" s="45"/>
      <c r="L187" s="45"/>
      <c r="M187" s="49"/>
      <c r="N187" s="45"/>
      <c r="O187" s="45"/>
    </row>
    <row r="188" spans="1:15" ht="15">
      <c r="A188" s="50"/>
      <c r="B188" s="50"/>
      <c r="C188" s="51"/>
      <c r="D188" s="52"/>
      <c r="E188" s="46">
        <f t="shared" si="7"/>
        <v>0</v>
      </c>
      <c r="F188" s="50"/>
      <c r="G188" s="53"/>
      <c r="H188" s="50"/>
      <c r="I188" s="50"/>
      <c r="J188" s="54"/>
      <c r="K188" s="50"/>
      <c r="L188" s="50"/>
      <c r="M188" s="54"/>
      <c r="N188" s="50"/>
      <c r="O188" s="50"/>
    </row>
    <row r="189" spans="1:15" ht="15">
      <c r="A189" s="45"/>
      <c r="B189" s="45"/>
      <c r="C189" s="46"/>
      <c r="D189" s="47"/>
      <c r="E189" s="46">
        <f t="shared" si="7"/>
        <v>0</v>
      </c>
      <c r="F189" s="45"/>
      <c r="G189" s="48"/>
      <c r="H189" s="45"/>
      <c r="I189" s="45"/>
      <c r="J189" s="49"/>
      <c r="K189" s="45"/>
      <c r="L189" s="45"/>
      <c r="M189" s="49"/>
      <c r="N189" s="45"/>
      <c r="O189" s="45"/>
    </row>
    <row r="190" spans="1:15" ht="15">
      <c r="A190" s="50"/>
      <c r="B190" s="50"/>
      <c r="C190" s="51"/>
      <c r="D190" s="52"/>
      <c r="E190" s="46">
        <f t="shared" si="7"/>
        <v>0</v>
      </c>
      <c r="F190" s="50"/>
      <c r="G190" s="53"/>
      <c r="H190" s="50"/>
      <c r="I190" s="50"/>
      <c r="J190" s="54"/>
      <c r="K190" s="50"/>
      <c r="L190" s="50"/>
      <c r="M190" s="54"/>
      <c r="N190" s="50"/>
      <c r="O190" s="50"/>
    </row>
    <row r="191" spans="1:15" ht="15">
      <c r="A191" s="45"/>
      <c r="B191" s="45"/>
      <c r="C191" s="46"/>
      <c r="D191" s="47"/>
      <c r="E191" s="46">
        <f t="shared" si="7"/>
        <v>0</v>
      </c>
      <c r="F191" s="45"/>
      <c r="G191" s="48"/>
      <c r="H191" s="45"/>
      <c r="I191" s="45"/>
      <c r="J191" s="49"/>
      <c r="K191" s="45"/>
      <c r="L191" s="45"/>
      <c r="M191" s="49"/>
      <c r="N191" s="45"/>
      <c r="O191" s="45"/>
    </row>
    <row r="192" spans="1:15" ht="15">
      <c r="A192" s="50"/>
      <c r="B192" s="50"/>
      <c r="C192" s="51"/>
      <c r="D192" s="52"/>
      <c r="E192" s="46">
        <f t="shared" si="7"/>
        <v>0</v>
      </c>
      <c r="F192" s="50"/>
      <c r="G192" s="53"/>
      <c r="H192" s="50"/>
      <c r="I192" s="50"/>
      <c r="J192" s="54"/>
      <c r="K192" s="50"/>
      <c r="L192" s="50"/>
      <c r="M192" s="54"/>
      <c r="N192" s="50"/>
      <c r="O192" s="50"/>
    </row>
    <row r="193" spans="1:15" ht="15">
      <c r="A193" s="45"/>
      <c r="B193" s="45"/>
      <c r="C193" s="46"/>
      <c r="D193" s="47"/>
      <c r="E193" s="46">
        <f t="shared" si="7"/>
        <v>0</v>
      </c>
      <c r="F193" s="45"/>
      <c r="G193" s="48"/>
      <c r="H193" s="45"/>
      <c r="I193" s="45"/>
      <c r="J193" s="49"/>
      <c r="K193" s="45"/>
      <c r="L193" s="45"/>
      <c r="M193" s="49"/>
      <c r="N193" s="45"/>
      <c r="O193" s="45"/>
    </row>
    <row r="194" spans="1:15" ht="15">
      <c r="A194" s="50"/>
      <c r="B194" s="50"/>
      <c r="C194" s="51"/>
      <c r="D194" s="52"/>
      <c r="E194" s="46">
        <f t="shared" si="7"/>
        <v>0</v>
      </c>
      <c r="F194" s="50"/>
      <c r="G194" s="53"/>
      <c r="H194" s="50"/>
      <c r="I194" s="50"/>
      <c r="J194" s="54"/>
      <c r="K194" s="50"/>
      <c r="L194" s="50"/>
      <c r="M194" s="54"/>
      <c r="N194" s="50"/>
      <c r="O194" s="50"/>
    </row>
    <row r="195" spans="1:15" ht="15">
      <c r="A195" s="45"/>
      <c r="B195" s="45"/>
      <c r="C195" s="46"/>
      <c r="D195" s="47"/>
      <c r="E195" s="46">
        <f t="shared" si="7"/>
        <v>0</v>
      </c>
      <c r="F195" s="45"/>
      <c r="G195" s="48"/>
      <c r="H195" s="45"/>
      <c r="I195" s="45"/>
      <c r="J195" s="49"/>
      <c r="K195" s="45"/>
      <c r="L195" s="45"/>
      <c r="M195" s="49"/>
      <c r="N195" s="45"/>
      <c r="O195" s="45"/>
    </row>
    <row r="196" spans="1:15" ht="15">
      <c r="A196" s="50"/>
      <c r="B196" s="50"/>
      <c r="C196" s="51"/>
      <c r="D196" s="52"/>
      <c r="E196" s="46">
        <f t="shared" si="7"/>
        <v>0</v>
      </c>
      <c r="F196" s="50"/>
      <c r="G196" s="53"/>
      <c r="H196" s="50"/>
      <c r="I196" s="50"/>
      <c r="J196" s="54"/>
      <c r="K196" s="50"/>
      <c r="L196" s="50"/>
      <c r="M196" s="54"/>
      <c r="N196" s="50"/>
      <c r="O196" s="50"/>
    </row>
    <row r="197" spans="1:15" ht="15">
      <c r="A197" s="45"/>
      <c r="B197" s="45"/>
      <c r="C197" s="46"/>
      <c r="D197" s="47"/>
      <c r="E197" s="46">
        <f t="shared" si="7"/>
        <v>0</v>
      </c>
      <c r="F197" s="45"/>
      <c r="G197" s="48"/>
      <c r="H197" s="45"/>
      <c r="I197" s="45"/>
      <c r="J197" s="49"/>
      <c r="K197" s="45"/>
      <c r="L197" s="45"/>
      <c r="M197" s="49"/>
      <c r="N197" s="45"/>
      <c r="O197" s="45"/>
    </row>
    <row r="198" spans="1:15" ht="15">
      <c r="A198" s="50"/>
      <c r="B198" s="50"/>
      <c r="C198" s="51"/>
      <c r="D198" s="52"/>
      <c r="E198" s="46">
        <f t="shared" si="7"/>
        <v>0</v>
      </c>
      <c r="F198" s="50"/>
      <c r="G198" s="53"/>
      <c r="H198" s="50"/>
      <c r="I198" s="50"/>
      <c r="J198" s="54"/>
      <c r="K198" s="50"/>
      <c r="L198" s="50"/>
      <c r="M198" s="54"/>
      <c r="N198" s="50"/>
      <c r="O198" s="50"/>
    </row>
    <row r="199" spans="1:15" ht="15">
      <c r="A199" s="45"/>
      <c r="B199" s="45"/>
      <c r="C199" s="46"/>
      <c r="D199" s="47"/>
      <c r="E199" s="46">
        <f t="shared" si="7"/>
        <v>0</v>
      </c>
      <c r="F199" s="45"/>
      <c r="G199" s="48"/>
      <c r="H199" s="45"/>
      <c r="I199" s="45"/>
      <c r="J199" s="49"/>
      <c r="K199" s="45"/>
      <c r="L199" s="45"/>
      <c r="M199" s="49"/>
      <c r="N199" s="45"/>
      <c r="O199" s="45"/>
    </row>
    <row r="200" spans="1:15" ht="15">
      <c r="A200" s="50"/>
      <c r="B200" s="50"/>
      <c r="C200" s="51"/>
      <c r="D200" s="52"/>
      <c r="E200" s="46">
        <f t="shared" si="7"/>
        <v>0</v>
      </c>
      <c r="F200" s="50"/>
      <c r="G200" s="53"/>
      <c r="H200" s="50"/>
      <c r="I200" s="50"/>
      <c r="J200" s="54"/>
      <c r="K200" s="50"/>
      <c r="L200" s="50"/>
      <c r="M200" s="54"/>
      <c r="N200" s="50"/>
      <c r="O200" s="50"/>
    </row>
    <row r="201" spans="1:15" ht="15">
      <c r="A201" s="45"/>
      <c r="B201" s="45"/>
      <c r="C201" s="46"/>
      <c r="D201" s="47"/>
      <c r="E201" s="46">
        <f t="shared" si="7"/>
        <v>0</v>
      </c>
      <c r="F201" s="45"/>
      <c r="G201" s="48"/>
      <c r="H201" s="45"/>
      <c r="I201" s="45"/>
      <c r="J201" s="49"/>
      <c r="K201" s="45"/>
      <c r="L201" s="45"/>
      <c r="M201" s="49"/>
      <c r="N201" s="45"/>
      <c r="O201" s="45"/>
    </row>
    <row r="202" spans="1:15" ht="15">
      <c r="A202" s="50"/>
      <c r="B202" s="50"/>
      <c r="C202" s="51"/>
      <c r="D202" s="52"/>
      <c r="E202" s="46">
        <f t="shared" si="7"/>
        <v>0</v>
      </c>
      <c r="F202" s="50"/>
      <c r="G202" s="53"/>
      <c r="H202" s="50"/>
      <c r="I202" s="50"/>
      <c r="J202" s="54"/>
      <c r="K202" s="50"/>
      <c r="L202" s="50"/>
      <c r="M202" s="54"/>
      <c r="N202" s="50"/>
      <c r="O202" s="50"/>
    </row>
    <row r="203" spans="1:15" ht="15">
      <c r="A203" s="45"/>
      <c r="B203" s="45"/>
      <c r="C203" s="46"/>
      <c r="D203" s="47"/>
      <c r="E203" s="46">
        <f t="shared" si="7"/>
        <v>0</v>
      </c>
      <c r="F203" s="45"/>
      <c r="G203" s="48"/>
      <c r="H203" s="45"/>
      <c r="I203" s="45"/>
      <c r="J203" s="49"/>
      <c r="K203" s="45"/>
      <c r="L203" s="45"/>
      <c r="M203" s="49"/>
      <c r="N203" s="45"/>
      <c r="O203" s="45"/>
    </row>
    <row r="204" spans="1:15" ht="15">
      <c r="A204" s="50"/>
      <c r="B204" s="50"/>
      <c r="C204" s="51"/>
      <c r="D204" s="52"/>
      <c r="E204" s="46">
        <f t="shared" si="7"/>
        <v>0</v>
      </c>
      <c r="F204" s="50"/>
      <c r="G204" s="53"/>
      <c r="H204" s="50"/>
      <c r="I204" s="50"/>
      <c r="J204" s="54"/>
      <c r="K204" s="50"/>
      <c r="L204" s="50"/>
      <c r="M204" s="54"/>
      <c r="N204" s="50"/>
      <c r="O204" s="50"/>
    </row>
    <row r="205" spans="1:15" ht="15">
      <c r="A205" s="45"/>
      <c r="B205" s="45"/>
      <c r="C205" s="46"/>
      <c r="D205" s="47"/>
      <c r="E205" s="46">
        <f t="shared" si="7"/>
        <v>0</v>
      </c>
      <c r="F205" s="45"/>
      <c r="G205" s="48"/>
      <c r="H205" s="45"/>
      <c r="I205" s="45"/>
      <c r="J205" s="49"/>
      <c r="K205" s="45"/>
      <c r="L205" s="45"/>
      <c r="M205" s="49"/>
      <c r="N205" s="45"/>
      <c r="O205" s="45"/>
    </row>
    <row r="206" spans="1:15" ht="15">
      <c r="A206" s="50"/>
      <c r="B206" s="50"/>
      <c r="C206" s="51"/>
      <c r="D206" s="52"/>
      <c r="E206" s="46">
        <f t="shared" si="7"/>
        <v>0</v>
      </c>
      <c r="F206" s="50"/>
      <c r="G206" s="53"/>
      <c r="H206" s="50"/>
      <c r="I206" s="50"/>
      <c r="J206" s="54"/>
      <c r="K206" s="50"/>
      <c r="L206" s="50"/>
      <c r="M206" s="54"/>
      <c r="N206" s="50"/>
      <c r="O206" s="50"/>
    </row>
    <row r="207" spans="1:15" ht="15">
      <c r="A207" s="45"/>
      <c r="B207" s="45"/>
      <c r="C207" s="46"/>
      <c r="D207" s="47"/>
      <c r="E207" s="46">
        <f t="shared" si="7"/>
        <v>0</v>
      </c>
      <c r="F207" s="45"/>
      <c r="G207" s="48"/>
      <c r="H207" s="45"/>
      <c r="I207" s="45"/>
      <c r="J207" s="49"/>
      <c r="K207" s="45"/>
      <c r="L207" s="45"/>
      <c r="M207" s="49"/>
      <c r="N207" s="45"/>
      <c r="O207" s="45"/>
    </row>
    <row r="208" spans="1:15" ht="15">
      <c r="A208" s="50"/>
      <c r="B208" s="50"/>
      <c r="C208" s="51"/>
      <c r="D208" s="52"/>
      <c r="E208" s="46">
        <f t="shared" si="7"/>
        <v>0</v>
      </c>
      <c r="F208" s="50"/>
      <c r="G208" s="53"/>
      <c r="H208" s="50"/>
      <c r="I208" s="50"/>
      <c r="J208" s="54"/>
      <c r="K208" s="50"/>
      <c r="L208" s="50"/>
      <c r="M208" s="54"/>
      <c r="N208" s="50"/>
      <c r="O208" s="50"/>
    </row>
    <row r="209" spans="1:15" ht="15">
      <c r="A209" s="45"/>
      <c r="B209" s="45"/>
      <c r="C209" s="46"/>
      <c r="D209" s="47"/>
      <c r="E209" s="46">
        <f t="shared" si="7"/>
        <v>0</v>
      </c>
      <c r="F209" s="45"/>
      <c r="G209" s="48"/>
      <c r="H209" s="45"/>
      <c r="I209" s="45"/>
      <c r="J209" s="49"/>
      <c r="K209" s="45"/>
      <c r="L209" s="45"/>
      <c r="M209" s="49"/>
      <c r="N209" s="45"/>
      <c r="O209" s="45"/>
    </row>
    <row r="210" spans="1:15" ht="15">
      <c r="A210" s="50"/>
      <c r="B210" s="50"/>
      <c r="C210" s="51"/>
      <c r="D210" s="52"/>
      <c r="E210" s="46">
        <f t="shared" si="7"/>
        <v>0</v>
      </c>
      <c r="F210" s="50"/>
      <c r="G210" s="53"/>
      <c r="H210" s="50"/>
      <c r="I210" s="50"/>
      <c r="J210" s="54"/>
      <c r="K210" s="50"/>
      <c r="L210" s="50"/>
      <c r="M210" s="54"/>
      <c r="N210" s="50"/>
      <c r="O210" s="50"/>
    </row>
    <row r="211" spans="1:15" ht="15">
      <c r="A211" s="45"/>
      <c r="B211" s="45"/>
      <c r="C211" s="46"/>
      <c r="D211" s="47"/>
      <c r="E211" s="46">
        <f t="shared" si="7"/>
        <v>0</v>
      </c>
      <c r="F211" s="45"/>
      <c r="G211" s="48"/>
      <c r="H211" s="45"/>
      <c r="I211" s="45"/>
      <c r="J211" s="49"/>
      <c r="K211" s="45"/>
      <c r="L211" s="45"/>
      <c r="M211" s="49"/>
      <c r="N211" s="45"/>
      <c r="O211" s="45"/>
    </row>
    <row r="212" spans="1:15" ht="15">
      <c r="A212" s="50"/>
      <c r="B212" s="50"/>
      <c r="C212" s="51"/>
      <c r="D212" s="52"/>
      <c r="E212" s="46">
        <f t="shared" si="7"/>
        <v>0</v>
      </c>
      <c r="F212" s="50"/>
      <c r="G212" s="53"/>
      <c r="H212" s="50"/>
      <c r="I212" s="50"/>
      <c r="J212" s="54"/>
      <c r="K212" s="50"/>
      <c r="L212" s="50"/>
      <c r="M212" s="54"/>
      <c r="N212" s="50"/>
      <c r="O212" s="50"/>
    </row>
    <row r="213" spans="1:15" ht="15">
      <c r="A213" s="45"/>
      <c r="B213" s="45"/>
      <c r="C213" s="46"/>
      <c r="D213" s="47"/>
      <c r="E213" s="46">
        <f t="shared" si="7"/>
        <v>0</v>
      </c>
      <c r="F213" s="45"/>
      <c r="G213" s="48"/>
      <c r="H213" s="45"/>
      <c r="I213" s="45"/>
      <c r="J213" s="49"/>
      <c r="K213" s="45"/>
      <c r="L213" s="45"/>
      <c r="M213" s="49"/>
      <c r="N213" s="45"/>
      <c r="O213" s="45"/>
    </row>
    <row r="214" spans="1:15" ht="15">
      <c r="A214" s="50"/>
      <c r="B214" s="50"/>
      <c r="C214" s="51"/>
      <c r="D214" s="52"/>
      <c r="E214" s="46">
        <f t="shared" si="7"/>
        <v>0</v>
      </c>
      <c r="F214" s="50"/>
      <c r="G214" s="53"/>
      <c r="H214" s="50"/>
      <c r="I214" s="50"/>
      <c r="J214" s="54"/>
      <c r="K214" s="50"/>
      <c r="L214" s="50"/>
      <c r="M214" s="54"/>
      <c r="N214" s="50"/>
      <c r="O214" s="50"/>
    </row>
    <row r="215" spans="1:15" ht="15">
      <c r="A215" s="45"/>
      <c r="B215" s="45"/>
      <c r="C215" s="46"/>
      <c r="D215" s="47"/>
      <c r="E215" s="46">
        <f t="shared" si="7"/>
        <v>0</v>
      </c>
      <c r="F215" s="45"/>
      <c r="G215" s="48"/>
      <c r="H215" s="45"/>
      <c r="I215" s="45"/>
      <c r="J215" s="49"/>
      <c r="K215" s="45"/>
      <c r="L215" s="45"/>
      <c r="M215" s="49"/>
      <c r="N215" s="45"/>
      <c r="O215" s="45"/>
    </row>
    <row r="216" spans="1:15" ht="15">
      <c r="A216" s="50"/>
      <c r="B216" s="50"/>
      <c r="C216" s="51"/>
      <c r="D216" s="52"/>
      <c r="E216" s="46">
        <f t="shared" si="7"/>
        <v>0</v>
      </c>
      <c r="F216" s="50"/>
      <c r="G216" s="53"/>
      <c r="H216" s="50"/>
      <c r="I216" s="50"/>
      <c r="J216" s="54"/>
      <c r="K216" s="50"/>
      <c r="L216" s="50"/>
      <c r="M216" s="54"/>
      <c r="N216" s="50"/>
      <c r="O216" s="50"/>
    </row>
    <row r="217" spans="1:15" ht="15">
      <c r="A217" s="45"/>
      <c r="B217" s="45"/>
      <c r="C217" s="46"/>
      <c r="D217" s="47"/>
      <c r="E217" s="46">
        <f t="shared" si="7"/>
        <v>0</v>
      </c>
      <c r="F217" s="45"/>
      <c r="G217" s="48"/>
      <c r="H217" s="45"/>
      <c r="I217" s="45"/>
      <c r="J217" s="49"/>
      <c r="K217" s="45"/>
      <c r="L217" s="45"/>
      <c r="M217" s="49"/>
      <c r="N217" s="45"/>
      <c r="O217" s="45"/>
    </row>
    <row r="218" spans="1:15" ht="15">
      <c r="A218" s="50"/>
      <c r="B218" s="50"/>
      <c r="C218" s="51"/>
      <c r="D218" s="52"/>
      <c r="E218" s="46">
        <f t="shared" si="7"/>
        <v>0</v>
      </c>
      <c r="F218" s="50"/>
      <c r="G218" s="53"/>
      <c r="H218" s="50"/>
      <c r="I218" s="50"/>
      <c r="J218" s="54"/>
      <c r="K218" s="50"/>
      <c r="L218" s="50"/>
      <c r="M218" s="54"/>
      <c r="N218" s="50"/>
      <c r="O218" s="50"/>
    </row>
    <row r="219" spans="1:15" ht="15">
      <c r="A219" s="45"/>
      <c r="B219" s="45"/>
      <c r="C219" s="46"/>
      <c r="D219" s="47"/>
      <c r="E219" s="46">
        <f t="shared" si="7"/>
        <v>0</v>
      </c>
      <c r="F219" s="45"/>
      <c r="G219" s="48"/>
      <c r="H219" s="45"/>
      <c r="I219" s="45"/>
      <c r="J219" s="49"/>
      <c r="K219" s="45"/>
      <c r="L219" s="45"/>
      <c r="M219" s="49"/>
      <c r="N219" s="45"/>
      <c r="O219" s="45"/>
    </row>
    <row r="220" spans="1:15" ht="15">
      <c r="A220" s="50"/>
      <c r="B220" s="50"/>
      <c r="C220" s="51"/>
      <c r="D220" s="52"/>
      <c r="E220" s="46">
        <f t="shared" si="7"/>
        <v>0</v>
      </c>
      <c r="F220" s="50"/>
      <c r="G220" s="53"/>
      <c r="H220" s="50"/>
      <c r="I220" s="50"/>
      <c r="J220" s="54"/>
      <c r="K220" s="50"/>
      <c r="L220" s="50"/>
      <c r="M220" s="54"/>
      <c r="N220" s="50"/>
      <c r="O220" s="50"/>
    </row>
    <row r="221" spans="1:15" ht="15">
      <c r="A221" s="45"/>
      <c r="B221" s="45"/>
      <c r="C221" s="46"/>
      <c r="D221" s="47"/>
      <c r="E221" s="46">
        <f t="shared" si="7"/>
        <v>0</v>
      </c>
      <c r="F221" s="45"/>
      <c r="G221" s="48"/>
      <c r="H221" s="45"/>
      <c r="I221" s="45"/>
      <c r="J221" s="49"/>
      <c r="K221" s="45"/>
      <c r="L221" s="45"/>
      <c r="M221" s="49"/>
      <c r="N221" s="45"/>
      <c r="O221" s="45"/>
    </row>
    <row r="222" spans="1:15" ht="15">
      <c r="A222" s="50"/>
      <c r="B222" s="50"/>
      <c r="C222" s="51"/>
      <c r="D222" s="52"/>
      <c r="E222" s="46">
        <f t="shared" si="7"/>
        <v>0</v>
      </c>
      <c r="F222" s="50"/>
      <c r="G222" s="53"/>
      <c r="H222" s="50"/>
      <c r="I222" s="50"/>
      <c r="J222" s="54"/>
      <c r="K222" s="50"/>
      <c r="L222" s="50"/>
      <c r="M222" s="54"/>
      <c r="N222" s="50"/>
      <c r="O222" s="50"/>
    </row>
    <row r="223" spans="1:15" ht="15">
      <c r="A223" s="45"/>
      <c r="B223" s="45"/>
      <c r="C223" s="46"/>
      <c r="D223" s="47"/>
      <c r="E223" s="46">
        <f t="shared" si="7"/>
        <v>0</v>
      </c>
      <c r="F223" s="45"/>
      <c r="G223" s="48"/>
      <c r="H223" s="45"/>
      <c r="I223" s="45"/>
      <c r="J223" s="49"/>
      <c r="K223" s="45"/>
      <c r="L223" s="45"/>
      <c r="M223" s="49"/>
      <c r="N223" s="45"/>
      <c r="O223" s="45"/>
    </row>
    <row r="224" spans="1:15" ht="15">
      <c r="A224" s="50"/>
      <c r="B224" s="50"/>
      <c r="C224" s="51"/>
      <c r="D224" s="52"/>
      <c r="E224" s="46">
        <f t="shared" si="7"/>
        <v>0</v>
      </c>
      <c r="F224" s="50"/>
      <c r="G224" s="53"/>
      <c r="H224" s="50"/>
      <c r="I224" s="50"/>
      <c r="J224" s="54"/>
      <c r="K224" s="50"/>
      <c r="L224" s="50"/>
      <c r="M224" s="54"/>
      <c r="N224" s="50"/>
      <c r="O224" s="50"/>
    </row>
    <row r="225" spans="1:15" ht="15">
      <c r="A225" s="45"/>
      <c r="B225" s="45"/>
      <c r="C225" s="46"/>
      <c r="D225" s="47"/>
      <c r="E225" s="46">
        <f t="shared" si="7"/>
        <v>0</v>
      </c>
      <c r="F225" s="45"/>
      <c r="G225" s="48"/>
      <c r="H225" s="45"/>
      <c r="I225" s="45"/>
      <c r="J225" s="49"/>
      <c r="K225" s="45"/>
      <c r="L225" s="45"/>
      <c r="M225" s="49"/>
      <c r="N225" s="45"/>
      <c r="O225" s="45"/>
    </row>
    <row r="226" spans="1:15" ht="15">
      <c r="A226" s="50"/>
      <c r="B226" s="50"/>
      <c r="C226" s="51"/>
      <c r="D226" s="52"/>
      <c r="E226" s="46">
        <f t="shared" si="7"/>
        <v>0</v>
      </c>
      <c r="F226" s="50"/>
      <c r="G226" s="53"/>
      <c r="H226" s="50"/>
      <c r="I226" s="50"/>
      <c r="J226" s="54"/>
      <c r="K226" s="50"/>
      <c r="L226" s="50"/>
      <c r="M226" s="54"/>
      <c r="N226" s="50"/>
      <c r="O226" s="50"/>
    </row>
    <row r="227" spans="1:15" ht="15">
      <c r="A227" s="45"/>
      <c r="B227" s="45"/>
      <c r="C227" s="46"/>
      <c r="D227" s="47"/>
      <c r="E227" s="46">
        <f t="shared" si="7"/>
        <v>0</v>
      </c>
      <c r="F227" s="45"/>
      <c r="G227" s="48"/>
      <c r="H227" s="45"/>
      <c r="I227" s="45"/>
      <c r="J227" s="49"/>
      <c r="K227" s="45"/>
      <c r="L227" s="45"/>
      <c r="M227" s="49"/>
      <c r="N227" s="45"/>
      <c r="O227" s="45"/>
    </row>
    <row r="228" spans="1:15" ht="15">
      <c r="A228" s="50"/>
      <c r="B228" s="50"/>
      <c r="C228" s="51"/>
      <c r="D228" s="52"/>
      <c r="E228" s="46">
        <f t="shared" si="7"/>
        <v>0</v>
      </c>
      <c r="F228" s="50"/>
      <c r="G228" s="53"/>
      <c r="H228" s="50"/>
      <c r="I228" s="50"/>
      <c r="J228" s="54"/>
      <c r="K228" s="50"/>
      <c r="L228" s="50"/>
      <c r="M228" s="54"/>
      <c r="N228" s="50"/>
      <c r="O228" s="50"/>
    </row>
    <row r="229" spans="1:15" ht="15">
      <c r="A229" s="45"/>
      <c r="B229" s="45"/>
      <c r="C229" s="46"/>
      <c r="D229" s="47"/>
      <c r="E229" s="46">
        <f t="shared" si="7"/>
        <v>0</v>
      </c>
      <c r="F229" s="45"/>
      <c r="G229" s="48"/>
      <c r="H229" s="45"/>
      <c r="I229" s="45"/>
      <c r="J229" s="49"/>
      <c r="K229" s="45"/>
      <c r="L229" s="45"/>
      <c r="M229" s="49"/>
      <c r="N229" s="45"/>
      <c r="O229" s="45"/>
    </row>
    <row r="230" spans="1:15" ht="15">
      <c r="A230" s="50"/>
      <c r="B230" s="50"/>
      <c r="C230" s="51"/>
      <c r="D230" s="52"/>
      <c r="E230" s="46">
        <f t="shared" si="7"/>
        <v>0</v>
      </c>
      <c r="F230" s="50"/>
      <c r="G230" s="53"/>
      <c r="H230" s="50"/>
      <c r="I230" s="50"/>
      <c r="J230" s="54"/>
      <c r="K230" s="50"/>
      <c r="L230" s="50"/>
      <c r="M230" s="54"/>
      <c r="N230" s="50"/>
      <c r="O230" s="50"/>
    </row>
    <row r="231" spans="1:15" ht="15">
      <c r="A231" s="45"/>
      <c r="B231" s="45"/>
      <c r="C231" s="46"/>
      <c r="D231" s="47"/>
      <c r="E231" s="46">
        <f t="shared" si="7"/>
        <v>0</v>
      </c>
      <c r="F231" s="45"/>
      <c r="G231" s="48"/>
      <c r="H231" s="45"/>
      <c r="I231" s="45"/>
      <c r="J231" s="49"/>
      <c r="K231" s="45"/>
      <c r="L231" s="45"/>
      <c r="M231" s="49"/>
      <c r="N231" s="45"/>
      <c r="O231" s="45"/>
    </row>
    <row r="232" spans="1:15" ht="15">
      <c r="A232" s="50"/>
      <c r="B232" s="50"/>
      <c r="C232" s="51"/>
      <c r="D232" s="52"/>
      <c r="E232" s="46">
        <f t="shared" si="7"/>
        <v>0</v>
      </c>
      <c r="F232" s="50"/>
      <c r="G232" s="53"/>
      <c r="H232" s="50"/>
      <c r="I232" s="50"/>
      <c r="J232" s="54"/>
      <c r="K232" s="50"/>
      <c r="L232" s="50"/>
      <c r="M232" s="54"/>
      <c r="N232" s="50"/>
      <c r="O232" s="50"/>
    </row>
    <row r="233" spans="1:15" ht="15">
      <c r="A233" s="45"/>
      <c r="B233" s="45"/>
      <c r="C233" s="46"/>
      <c r="D233" s="47"/>
      <c r="E233" s="46">
        <f t="shared" si="7"/>
        <v>0</v>
      </c>
      <c r="F233" s="45"/>
      <c r="G233" s="48"/>
      <c r="H233" s="45"/>
      <c r="I233" s="45"/>
      <c r="J233" s="49"/>
      <c r="K233" s="45"/>
      <c r="L233" s="45"/>
      <c r="M233" s="49"/>
      <c r="N233" s="45"/>
      <c r="O233" s="45"/>
    </row>
    <row r="234" spans="1:15" ht="15">
      <c r="A234" s="50"/>
      <c r="B234" s="50"/>
      <c r="C234" s="51"/>
      <c r="D234" s="52"/>
      <c r="E234" s="46">
        <f t="shared" si="7"/>
        <v>0</v>
      </c>
      <c r="F234" s="50"/>
      <c r="G234" s="53"/>
      <c r="H234" s="50"/>
      <c r="I234" s="50"/>
      <c r="J234" s="54"/>
      <c r="K234" s="50"/>
      <c r="L234" s="50"/>
      <c r="M234" s="54"/>
      <c r="N234" s="50"/>
      <c r="O234" s="50"/>
    </row>
    <row r="235" spans="1:15" ht="15">
      <c r="A235" s="45"/>
      <c r="B235" s="45"/>
      <c r="C235" s="46"/>
      <c r="D235" s="47"/>
      <c r="E235" s="46">
        <f t="shared" ref="E235:E276" si="8">D235*C235</f>
        <v>0</v>
      </c>
      <c r="F235" s="45"/>
      <c r="G235" s="48"/>
      <c r="H235" s="45"/>
      <c r="I235" s="45"/>
      <c r="J235" s="49"/>
      <c r="K235" s="45"/>
      <c r="L235" s="45"/>
      <c r="M235" s="49"/>
      <c r="N235" s="45"/>
      <c r="O235" s="45"/>
    </row>
    <row r="236" spans="1:15" ht="15">
      <c r="A236" s="50"/>
      <c r="B236" s="50"/>
      <c r="C236" s="51"/>
      <c r="D236" s="52"/>
      <c r="E236" s="46">
        <f t="shared" si="8"/>
        <v>0</v>
      </c>
      <c r="F236" s="50"/>
      <c r="G236" s="53"/>
      <c r="H236" s="50"/>
      <c r="I236" s="50"/>
      <c r="J236" s="54"/>
      <c r="K236" s="50"/>
      <c r="L236" s="50"/>
      <c r="M236" s="54"/>
      <c r="N236" s="50"/>
      <c r="O236" s="50"/>
    </row>
    <row r="237" spans="1:15" ht="15">
      <c r="A237" s="45"/>
      <c r="B237" s="45"/>
      <c r="C237" s="46"/>
      <c r="D237" s="47"/>
      <c r="E237" s="46">
        <f t="shared" si="8"/>
        <v>0</v>
      </c>
      <c r="F237" s="45"/>
      <c r="G237" s="48"/>
      <c r="H237" s="45"/>
      <c r="I237" s="45"/>
      <c r="J237" s="49"/>
      <c r="K237" s="45"/>
      <c r="L237" s="45"/>
      <c r="M237" s="49"/>
      <c r="N237" s="45"/>
      <c r="O237" s="45"/>
    </row>
    <row r="238" spans="1:15" ht="15">
      <c r="A238" s="50"/>
      <c r="B238" s="50"/>
      <c r="C238" s="51"/>
      <c r="D238" s="52"/>
      <c r="E238" s="46">
        <f t="shared" si="8"/>
        <v>0</v>
      </c>
      <c r="F238" s="50"/>
      <c r="G238" s="53"/>
      <c r="H238" s="50"/>
      <c r="I238" s="50"/>
      <c r="J238" s="54"/>
      <c r="K238" s="50"/>
      <c r="L238" s="50"/>
      <c r="M238" s="54"/>
      <c r="N238" s="50"/>
      <c r="O238" s="50"/>
    </row>
    <row r="239" spans="1:15" ht="15">
      <c r="A239" s="45"/>
      <c r="B239" s="45"/>
      <c r="C239" s="46"/>
      <c r="D239" s="47"/>
      <c r="E239" s="46">
        <f t="shared" si="8"/>
        <v>0</v>
      </c>
      <c r="F239" s="45"/>
      <c r="G239" s="48"/>
      <c r="H239" s="45"/>
      <c r="I239" s="45"/>
      <c r="J239" s="49"/>
      <c r="K239" s="45"/>
      <c r="L239" s="45"/>
      <c r="M239" s="49"/>
      <c r="N239" s="45"/>
      <c r="O239" s="45"/>
    </row>
    <row r="240" spans="1:15" ht="15">
      <c r="A240" s="50"/>
      <c r="B240" s="50"/>
      <c r="C240" s="51"/>
      <c r="D240" s="52"/>
      <c r="E240" s="46">
        <f t="shared" si="8"/>
        <v>0</v>
      </c>
      <c r="F240" s="50"/>
      <c r="G240" s="53"/>
      <c r="H240" s="50"/>
      <c r="I240" s="50"/>
      <c r="J240" s="54"/>
      <c r="K240" s="50"/>
      <c r="L240" s="50"/>
      <c r="M240" s="54"/>
      <c r="N240" s="50"/>
      <c r="O240" s="50"/>
    </row>
    <row r="241" spans="1:15" ht="15">
      <c r="A241" s="45"/>
      <c r="B241" s="45"/>
      <c r="C241" s="46"/>
      <c r="D241" s="47"/>
      <c r="E241" s="46">
        <f t="shared" si="8"/>
        <v>0</v>
      </c>
      <c r="F241" s="45"/>
      <c r="G241" s="48"/>
      <c r="H241" s="45"/>
      <c r="I241" s="45"/>
      <c r="J241" s="49"/>
      <c r="K241" s="45"/>
      <c r="L241" s="45"/>
      <c r="M241" s="49"/>
      <c r="N241" s="45"/>
      <c r="O241" s="45"/>
    </row>
    <row r="242" spans="1:15" ht="15">
      <c r="A242" s="50"/>
      <c r="B242" s="50"/>
      <c r="C242" s="51"/>
      <c r="D242" s="52"/>
      <c r="E242" s="46">
        <f t="shared" si="8"/>
        <v>0</v>
      </c>
      <c r="F242" s="50"/>
      <c r="G242" s="53"/>
      <c r="H242" s="50"/>
      <c r="I242" s="50"/>
      <c r="J242" s="54"/>
      <c r="K242" s="50"/>
      <c r="L242" s="50"/>
      <c r="M242" s="54"/>
      <c r="N242" s="50"/>
      <c r="O242" s="50"/>
    </row>
    <row r="243" spans="1:15" ht="15">
      <c r="A243" s="45"/>
      <c r="B243" s="45"/>
      <c r="C243" s="46"/>
      <c r="D243" s="47"/>
      <c r="E243" s="46">
        <f t="shared" si="8"/>
        <v>0</v>
      </c>
      <c r="F243" s="45"/>
      <c r="G243" s="48"/>
      <c r="H243" s="45"/>
      <c r="I243" s="45"/>
      <c r="J243" s="49"/>
      <c r="K243" s="45"/>
      <c r="L243" s="45"/>
      <c r="M243" s="49"/>
      <c r="N243" s="45"/>
      <c r="O243" s="45"/>
    </row>
    <row r="244" spans="1:15" ht="15">
      <c r="A244" s="50"/>
      <c r="B244" s="50"/>
      <c r="C244" s="51"/>
      <c r="D244" s="52"/>
      <c r="E244" s="46">
        <f t="shared" si="8"/>
        <v>0</v>
      </c>
      <c r="F244" s="50"/>
      <c r="G244" s="53"/>
      <c r="H244" s="50"/>
      <c r="I244" s="50"/>
      <c r="J244" s="54"/>
      <c r="K244" s="50"/>
      <c r="L244" s="50"/>
      <c r="M244" s="54"/>
      <c r="N244" s="50"/>
      <c r="O244" s="50"/>
    </row>
    <row r="245" spans="1:15" ht="15">
      <c r="A245" s="45"/>
      <c r="B245" s="45"/>
      <c r="C245" s="46"/>
      <c r="D245" s="47"/>
      <c r="E245" s="46">
        <f t="shared" si="8"/>
        <v>0</v>
      </c>
      <c r="F245" s="45"/>
      <c r="G245" s="48"/>
      <c r="H245" s="45"/>
      <c r="I245" s="45"/>
      <c r="J245" s="49"/>
      <c r="K245" s="45"/>
      <c r="L245" s="45"/>
      <c r="M245" s="49"/>
      <c r="N245" s="45"/>
      <c r="O245" s="45"/>
    </row>
    <row r="246" spans="1:15" ht="15">
      <c r="A246" s="50"/>
      <c r="B246" s="50"/>
      <c r="C246" s="51"/>
      <c r="D246" s="52"/>
      <c r="E246" s="46">
        <f t="shared" si="8"/>
        <v>0</v>
      </c>
      <c r="F246" s="50"/>
      <c r="G246" s="53"/>
      <c r="H246" s="50"/>
      <c r="I246" s="50"/>
      <c r="J246" s="54"/>
      <c r="K246" s="50"/>
      <c r="L246" s="50"/>
      <c r="M246" s="54"/>
      <c r="N246" s="50"/>
      <c r="O246" s="50"/>
    </row>
    <row r="247" spans="1:15" ht="15">
      <c r="A247" s="45"/>
      <c r="B247" s="45"/>
      <c r="C247" s="46"/>
      <c r="D247" s="47"/>
      <c r="E247" s="46">
        <f t="shared" si="8"/>
        <v>0</v>
      </c>
      <c r="F247" s="45"/>
      <c r="G247" s="48"/>
      <c r="H247" s="45"/>
      <c r="I247" s="45"/>
      <c r="J247" s="49"/>
      <c r="K247" s="45"/>
      <c r="L247" s="45"/>
      <c r="M247" s="49"/>
      <c r="N247" s="45"/>
      <c r="O247" s="45"/>
    </row>
    <row r="248" spans="1:15" ht="15">
      <c r="A248" s="50"/>
      <c r="B248" s="50"/>
      <c r="C248" s="51"/>
      <c r="D248" s="52"/>
      <c r="E248" s="46">
        <f t="shared" si="8"/>
        <v>0</v>
      </c>
      <c r="F248" s="50"/>
      <c r="G248" s="53"/>
      <c r="H248" s="50"/>
      <c r="I248" s="50"/>
      <c r="J248" s="54"/>
      <c r="K248" s="50"/>
      <c r="L248" s="50"/>
      <c r="M248" s="54"/>
      <c r="N248" s="50"/>
      <c r="O248" s="50"/>
    </row>
    <row r="249" spans="1:15" ht="15">
      <c r="A249" s="45"/>
      <c r="B249" s="45"/>
      <c r="C249" s="46"/>
      <c r="D249" s="47"/>
      <c r="E249" s="46">
        <f t="shared" si="8"/>
        <v>0</v>
      </c>
      <c r="F249" s="45"/>
      <c r="G249" s="48"/>
      <c r="H249" s="45"/>
      <c r="I249" s="45"/>
      <c r="J249" s="49"/>
      <c r="K249" s="45"/>
      <c r="L249" s="45"/>
      <c r="M249" s="49"/>
      <c r="N249" s="45"/>
      <c r="O249" s="45"/>
    </row>
    <row r="250" spans="1:15" ht="15">
      <c r="A250" s="50"/>
      <c r="B250" s="50"/>
      <c r="C250" s="51"/>
      <c r="D250" s="52"/>
      <c r="E250" s="46">
        <f t="shared" si="8"/>
        <v>0</v>
      </c>
      <c r="F250" s="50"/>
      <c r="G250" s="53"/>
      <c r="H250" s="50"/>
      <c r="I250" s="50"/>
      <c r="J250" s="54"/>
      <c r="K250" s="50"/>
      <c r="L250" s="50"/>
      <c r="M250" s="54"/>
      <c r="N250" s="50"/>
      <c r="O250" s="50"/>
    </row>
    <row r="251" spans="1:15" ht="15">
      <c r="A251" s="45"/>
      <c r="B251" s="45"/>
      <c r="C251" s="46"/>
      <c r="D251" s="47"/>
      <c r="E251" s="46">
        <f t="shared" si="8"/>
        <v>0</v>
      </c>
      <c r="F251" s="45"/>
      <c r="G251" s="48"/>
      <c r="H251" s="45"/>
      <c r="I251" s="45"/>
      <c r="J251" s="49"/>
      <c r="K251" s="45"/>
      <c r="L251" s="45"/>
      <c r="M251" s="49"/>
      <c r="N251" s="45"/>
      <c r="O251" s="45"/>
    </row>
    <row r="252" spans="1:15" ht="15">
      <c r="A252" s="50"/>
      <c r="B252" s="50"/>
      <c r="C252" s="51"/>
      <c r="D252" s="52"/>
      <c r="E252" s="46">
        <f t="shared" si="8"/>
        <v>0</v>
      </c>
      <c r="F252" s="50"/>
      <c r="G252" s="53"/>
      <c r="H252" s="50"/>
      <c r="I252" s="50"/>
      <c r="J252" s="54"/>
      <c r="K252" s="50"/>
      <c r="L252" s="50"/>
      <c r="M252" s="54"/>
      <c r="N252" s="50"/>
      <c r="O252" s="50"/>
    </row>
    <row r="253" spans="1:15" ht="15">
      <c r="A253" s="45"/>
      <c r="B253" s="45"/>
      <c r="C253" s="46"/>
      <c r="D253" s="47"/>
      <c r="E253" s="46">
        <f t="shared" si="8"/>
        <v>0</v>
      </c>
      <c r="F253" s="45"/>
      <c r="G253" s="48"/>
      <c r="H253" s="45"/>
      <c r="I253" s="45"/>
      <c r="J253" s="49"/>
      <c r="K253" s="45"/>
      <c r="L253" s="45"/>
      <c r="M253" s="49"/>
      <c r="N253" s="45"/>
      <c r="O253" s="45"/>
    </row>
    <row r="254" spans="1:15" ht="15">
      <c r="A254" s="50"/>
      <c r="B254" s="50"/>
      <c r="C254" s="51"/>
      <c r="D254" s="52"/>
      <c r="E254" s="46">
        <f t="shared" si="8"/>
        <v>0</v>
      </c>
      <c r="F254" s="50"/>
      <c r="G254" s="53"/>
      <c r="H254" s="50"/>
      <c r="I254" s="50"/>
      <c r="J254" s="54"/>
      <c r="K254" s="50"/>
      <c r="L254" s="50"/>
      <c r="M254" s="54"/>
      <c r="N254" s="50"/>
      <c r="O254" s="50"/>
    </row>
    <row r="255" spans="1:15" ht="15">
      <c r="A255" s="45"/>
      <c r="B255" s="45"/>
      <c r="C255" s="46"/>
      <c r="D255" s="47"/>
      <c r="E255" s="46">
        <f t="shared" si="8"/>
        <v>0</v>
      </c>
      <c r="F255" s="45"/>
      <c r="G255" s="48"/>
      <c r="H255" s="45"/>
      <c r="I255" s="45"/>
      <c r="J255" s="49"/>
      <c r="K255" s="45"/>
      <c r="L255" s="45"/>
      <c r="M255" s="49"/>
      <c r="N255" s="45"/>
      <c r="O255" s="45"/>
    </row>
    <row r="256" spans="1:15" ht="15">
      <c r="A256" s="50"/>
      <c r="B256" s="50"/>
      <c r="C256" s="51"/>
      <c r="D256" s="52"/>
      <c r="E256" s="46">
        <f t="shared" si="8"/>
        <v>0</v>
      </c>
      <c r="F256" s="50"/>
      <c r="G256" s="53"/>
      <c r="H256" s="50"/>
      <c r="I256" s="50"/>
      <c r="J256" s="54"/>
      <c r="K256" s="50"/>
      <c r="L256" s="50"/>
      <c r="M256" s="54"/>
      <c r="N256" s="50"/>
      <c r="O256" s="50"/>
    </row>
    <row r="257" spans="1:15" ht="15">
      <c r="A257" s="45"/>
      <c r="B257" s="45"/>
      <c r="C257" s="46"/>
      <c r="D257" s="47"/>
      <c r="E257" s="46">
        <f t="shared" si="8"/>
        <v>0</v>
      </c>
      <c r="F257" s="45"/>
      <c r="G257" s="48"/>
      <c r="H257" s="45"/>
      <c r="I257" s="45"/>
      <c r="J257" s="49"/>
      <c r="K257" s="45"/>
      <c r="L257" s="45"/>
      <c r="M257" s="49"/>
      <c r="N257" s="45"/>
      <c r="O257" s="45"/>
    </row>
    <row r="258" spans="1:15" ht="15">
      <c r="A258" s="50"/>
      <c r="B258" s="50"/>
      <c r="C258" s="51"/>
      <c r="D258" s="52"/>
      <c r="E258" s="46">
        <f t="shared" si="8"/>
        <v>0</v>
      </c>
      <c r="F258" s="50"/>
      <c r="G258" s="53"/>
      <c r="H258" s="50"/>
      <c r="I258" s="50"/>
      <c r="J258" s="54"/>
      <c r="K258" s="50"/>
      <c r="L258" s="50"/>
      <c r="M258" s="54"/>
      <c r="N258" s="50"/>
      <c r="O258" s="50"/>
    </row>
    <row r="259" spans="1:15" ht="15">
      <c r="A259" s="45"/>
      <c r="B259" s="45"/>
      <c r="C259" s="46"/>
      <c r="D259" s="47"/>
      <c r="E259" s="46">
        <f t="shared" si="8"/>
        <v>0</v>
      </c>
      <c r="F259" s="45"/>
      <c r="G259" s="48"/>
      <c r="H259" s="45"/>
      <c r="I259" s="45"/>
      <c r="J259" s="49"/>
      <c r="K259" s="45"/>
      <c r="L259" s="45"/>
      <c r="M259" s="49"/>
      <c r="N259" s="45"/>
      <c r="O259" s="45"/>
    </row>
    <row r="260" spans="1:15" ht="15">
      <c r="A260" s="50"/>
      <c r="B260" s="50"/>
      <c r="C260" s="51"/>
      <c r="D260" s="52"/>
      <c r="E260" s="46">
        <f t="shared" si="8"/>
        <v>0</v>
      </c>
      <c r="F260" s="50"/>
      <c r="G260" s="53"/>
      <c r="H260" s="50"/>
      <c r="I260" s="50"/>
      <c r="J260" s="54"/>
      <c r="K260" s="50"/>
      <c r="L260" s="50"/>
      <c r="M260" s="54"/>
      <c r="N260" s="50"/>
      <c r="O260" s="50"/>
    </row>
    <row r="261" spans="1:15" ht="15">
      <c r="A261" s="45"/>
      <c r="B261" s="45"/>
      <c r="C261" s="46"/>
      <c r="D261" s="47"/>
      <c r="E261" s="46">
        <f t="shared" si="8"/>
        <v>0</v>
      </c>
      <c r="F261" s="45"/>
      <c r="G261" s="48"/>
      <c r="H261" s="45"/>
      <c r="I261" s="45"/>
      <c r="J261" s="49"/>
      <c r="K261" s="45"/>
      <c r="L261" s="45"/>
      <c r="M261" s="49"/>
      <c r="N261" s="45"/>
      <c r="O261" s="45"/>
    </row>
    <row r="262" spans="1:15" ht="15">
      <c r="A262" s="50"/>
      <c r="B262" s="50"/>
      <c r="C262" s="51"/>
      <c r="D262" s="52"/>
      <c r="E262" s="46">
        <f t="shared" si="8"/>
        <v>0</v>
      </c>
      <c r="F262" s="50"/>
      <c r="G262" s="53"/>
      <c r="H262" s="50"/>
      <c r="I262" s="50"/>
      <c r="J262" s="54"/>
      <c r="K262" s="50"/>
      <c r="L262" s="50"/>
      <c r="M262" s="54"/>
      <c r="N262" s="50"/>
      <c r="O262" s="50"/>
    </row>
    <row r="263" spans="1:15" ht="15">
      <c r="A263" s="45"/>
      <c r="B263" s="45"/>
      <c r="C263" s="46"/>
      <c r="D263" s="47"/>
      <c r="E263" s="46">
        <f t="shared" si="8"/>
        <v>0</v>
      </c>
      <c r="F263" s="45"/>
      <c r="G263" s="48"/>
      <c r="H263" s="45"/>
      <c r="I263" s="45"/>
      <c r="J263" s="49"/>
      <c r="K263" s="45"/>
      <c r="L263" s="45"/>
      <c r="M263" s="49"/>
      <c r="N263" s="45"/>
      <c r="O263" s="45"/>
    </row>
    <row r="264" spans="1:15" ht="15">
      <c r="A264" s="50"/>
      <c r="B264" s="50"/>
      <c r="C264" s="51"/>
      <c r="D264" s="52"/>
      <c r="E264" s="46">
        <f t="shared" si="8"/>
        <v>0</v>
      </c>
      <c r="F264" s="50"/>
      <c r="G264" s="53"/>
      <c r="H264" s="50"/>
      <c r="I264" s="50"/>
      <c r="J264" s="54"/>
      <c r="K264" s="50"/>
      <c r="L264" s="50"/>
      <c r="M264" s="54"/>
      <c r="N264" s="50"/>
      <c r="O264" s="50"/>
    </row>
    <row r="265" spans="1:15" ht="15">
      <c r="A265" s="45"/>
      <c r="B265" s="45"/>
      <c r="C265" s="46"/>
      <c r="D265" s="47"/>
      <c r="E265" s="46">
        <f t="shared" si="8"/>
        <v>0</v>
      </c>
      <c r="F265" s="45"/>
      <c r="G265" s="48"/>
      <c r="H265" s="45"/>
      <c r="I265" s="45"/>
      <c r="J265" s="49"/>
      <c r="K265" s="45"/>
      <c r="L265" s="45"/>
      <c r="M265" s="49"/>
      <c r="N265" s="45"/>
      <c r="O265" s="45"/>
    </row>
    <row r="266" spans="1:15" ht="15">
      <c r="A266" s="50"/>
      <c r="B266" s="50"/>
      <c r="C266" s="51"/>
      <c r="D266" s="52"/>
      <c r="E266" s="46">
        <f t="shared" si="8"/>
        <v>0</v>
      </c>
      <c r="F266" s="50"/>
      <c r="G266" s="53"/>
      <c r="H266" s="50"/>
      <c r="I266" s="50"/>
      <c r="J266" s="54"/>
      <c r="K266" s="50"/>
      <c r="L266" s="50"/>
      <c r="M266" s="54"/>
      <c r="N266" s="50"/>
      <c r="O266" s="50"/>
    </row>
    <row r="267" spans="1:15" ht="15">
      <c r="A267" s="45"/>
      <c r="B267" s="45"/>
      <c r="C267" s="46"/>
      <c r="D267" s="47"/>
      <c r="E267" s="46">
        <f t="shared" si="8"/>
        <v>0</v>
      </c>
      <c r="F267" s="45"/>
      <c r="G267" s="48"/>
      <c r="H267" s="45"/>
      <c r="I267" s="45"/>
      <c r="J267" s="49"/>
      <c r="K267" s="45"/>
      <c r="L267" s="45"/>
      <c r="M267" s="49"/>
      <c r="N267" s="45"/>
      <c r="O267" s="45"/>
    </row>
    <row r="268" spans="1:15" ht="15">
      <c r="A268" s="50"/>
      <c r="B268" s="50"/>
      <c r="C268" s="51"/>
      <c r="D268" s="47"/>
      <c r="E268" s="46">
        <f t="shared" si="8"/>
        <v>0</v>
      </c>
      <c r="F268" s="50"/>
      <c r="G268" s="53"/>
      <c r="H268" s="50"/>
      <c r="I268" s="50"/>
      <c r="J268" s="54"/>
      <c r="K268" s="50"/>
      <c r="L268" s="50"/>
      <c r="M268" s="54"/>
      <c r="N268" s="50"/>
      <c r="O268" s="50"/>
    </row>
    <row r="269" spans="1:15" ht="15">
      <c r="A269" s="45"/>
      <c r="B269" s="45"/>
      <c r="C269" s="46"/>
      <c r="D269" s="47"/>
      <c r="E269" s="46">
        <f t="shared" si="8"/>
        <v>0</v>
      </c>
      <c r="F269" s="45"/>
      <c r="G269" s="48"/>
      <c r="H269" s="45"/>
      <c r="I269" s="45"/>
      <c r="J269" s="49"/>
      <c r="K269" s="45"/>
      <c r="L269" s="45"/>
      <c r="M269" s="49"/>
      <c r="N269" s="45"/>
      <c r="O269" s="45"/>
    </row>
    <row r="270" spans="1:15" ht="15">
      <c r="A270" s="50"/>
      <c r="B270" s="50"/>
      <c r="C270" s="51"/>
      <c r="D270" s="47"/>
      <c r="E270" s="46">
        <f t="shared" si="8"/>
        <v>0</v>
      </c>
      <c r="F270" s="50"/>
      <c r="G270" s="53"/>
      <c r="H270" s="50"/>
      <c r="I270" s="50"/>
      <c r="J270" s="54"/>
      <c r="K270" s="50"/>
      <c r="L270" s="50"/>
      <c r="M270" s="54"/>
      <c r="N270" s="50"/>
      <c r="O270" s="50"/>
    </row>
    <row r="271" spans="1:15" ht="15">
      <c r="A271" s="45"/>
      <c r="B271" s="45"/>
      <c r="C271" s="46"/>
      <c r="D271" s="47"/>
      <c r="E271" s="46">
        <f t="shared" si="8"/>
        <v>0</v>
      </c>
      <c r="F271" s="45"/>
      <c r="G271" s="48"/>
      <c r="H271" s="45"/>
      <c r="I271" s="45"/>
      <c r="J271" s="49"/>
      <c r="K271" s="45"/>
      <c r="L271" s="45"/>
      <c r="M271" s="49"/>
      <c r="N271" s="45"/>
      <c r="O271" s="45"/>
    </row>
    <row r="272" spans="1:15" ht="15">
      <c r="A272" s="50"/>
      <c r="B272" s="50"/>
      <c r="C272" s="51"/>
      <c r="D272" s="47"/>
      <c r="E272" s="46">
        <f t="shared" si="8"/>
        <v>0</v>
      </c>
      <c r="F272" s="50"/>
      <c r="G272" s="53"/>
      <c r="H272" s="50"/>
      <c r="I272" s="50"/>
      <c r="J272" s="54"/>
      <c r="K272" s="50"/>
      <c r="L272" s="50"/>
      <c r="M272" s="54"/>
      <c r="N272" s="50"/>
      <c r="O272" s="50"/>
    </row>
    <row r="273" spans="1:15" ht="15">
      <c r="A273" s="45"/>
      <c r="B273" s="45"/>
      <c r="C273" s="46"/>
      <c r="D273" s="47"/>
      <c r="E273" s="46">
        <f t="shared" si="8"/>
        <v>0</v>
      </c>
      <c r="F273" s="45"/>
      <c r="G273" s="48"/>
      <c r="H273" s="45"/>
      <c r="I273" s="45"/>
      <c r="J273" s="49"/>
      <c r="K273" s="45"/>
      <c r="L273" s="45"/>
      <c r="M273" s="49"/>
      <c r="N273" s="45"/>
      <c r="O273" s="45"/>
    </row>
    <row r="274" spans="1:15" ht="15">
      <c r="A274" s="50"/>
      <c r="B274" s="50"/>
      <c r="C274" s="51"/>
      <c r="D274" s="47"/>
      <c r="E274" s="46">
        <f t="shared" si="8"/>
        <v>0</v>
      </c>
      <c r="F274" s="50"/>
      <c r="G274" s="53"/>
      <c r="H274" s="50"/>
      <c r="I274" s="50"/>
      <c r="J274" s="54"/>
      <c r="K274" s="50"/>
      <c r="L274" s="50"/>
      <c r="M274" s="54"/>
      <c r="N274" s="50"/>
      <c r="O274" s="50"/>
    </row>
    <row r="275" spans="1:15" ht="15">
      <c r="A275" s="45"/>
      <c r="B275" s="45"/>
      <c r="C275" s="46"/>
      <c r="D275" s="47"/>
      <c r="E275" s="46">
        <f t="shared" si="8"/>
        <v>0</v>
      </c>
      <c r="F275" s="45"/>
      <c r="G275" s="48"/>
      <c r="H275" s="45"/>
      <c r="I275" s="45"/>
      <c r="J275" s="49"/>
      <c r="K275" s="45"/>
      <c r="L275" s="45"/>
      <c r="M275" s="49"/>
      <c r="N275" s="45"/>
      <c r="O275" s="45"/>
    </row>
    <row r="276" spans="1:15" ht="15">
      <c r="A276" s="50"/>
      <c r="B276" s="50"/>
      <c r="C276" s="51"/>
      <c r="D276" s="47"/>
      <c r="E276" s="46">
        <f t="shared" si="8"/>
        <v>0</v>
      </c>
      <c r="F276" s="50"/>
      <c r="G276" s="53"/>
      <c r="H276" s="50"/>
      <c r="I276" s="50"/>
      <c r="J276" s="54"/>
      <c r="K276" s="50"/>
      <c r="L276" s="50"/>
      <c r="M276" s="54"/>
      <c r="N276" s="50"/>
      <c r="O276" s="50"/>
    </row>
    <row r="277" spans="1:15" ht="15">
      <c r="A277" s="117"/>
      <c r="B277" s="117"/>
      <c r="C277" s="117"/>
      <c r="D277" s="117"/>
      <c r="E277" s="63" t="str">
        <f t="shared" ref="E277:E298" si="9">IF(OR(C277="",D277=""),"",C277*D277)</f>
        <v/>
      </c>
      <c r="F277" s="117"/>
      <c r="G277" s="117"/>
      <c r="H277" s="117"/>
      <c r="I277" s="117"/>
      <c r="J277" s="117"/>
      <c r="K277" s="117"/>
      <c r="L277" s="117"/>
      <c r="M277" s="117"/>
      <c r="N277" s="117"/>
      <c r="O277" s="117"/>
    </row>
    <row r="278" spans="1:15" ht="15">
      <c r="A278" s="117"/>
      <c r="B278" s="117"/>
      <c r="C278" s="117"/>
      <c r="D278" s="117"/>
      <c r="E278" s="63" t="str">
        <f t="shared" si="9"/>
        <v/>
      </c>
      <c r="F278" s="117"/>
      <c r="G278" s="117"/>
      <c r="H278" s="117"/>
      <c r="I278" s="117"/>
      <c r="J278" s="117"/>
      <c r="K278" s="117"/>
      <c r="L278" s="117"/>
      <c r="M278" s="117"/>
      <c r="N278" s="117"/>
      <c r="O278" s="117"/>
    </row>
    <row r="279" spans="1:15" ht="15">
      <c r="A279" s="117"/>
      <c r="B279" s="117"/>
      <c r="C279" s="117"/>
      <c r="D279" s="117"/>
      <c r="E279" s="63" t="str">
        <f t="shared" si="9"/>
        <v/>
      </c>
      <c r="F279" s="117"/>
      <c r="G279" s="117"/>
      <c r="H279" s="117"/>
      <c r="I279" s="117"/>
      <c r="J279" s="117"/>
      <c r="K279" s="117"/>
      <c r="L279" s="117"/>
      <c r="M279" s="117"/>
      <c r="N279" s="117"/>
      <c r="O279" s="117"/>
    </row>
    <row r="280" spans="1:15" ht="15">
      <c r="A280" s="117"/>
      <c r="B280" s="117"/>
      <c r="C280" s="117"/>
      <c r="D280" s="117"/>
      <c r="E280" s="63" t="str">
        <f t="shared" si="9"/>
        <v/>
      </c>
      <c r="F280" s="117"/>
      <c r="G280" s="117"/>
      <c r="H280" s="117"/>
      <c r="I280" s="117"/>
      <c r="J280" s="117"/>
      <c r="K280" s="117"/>
      <c r="L280" s="117"/>
      <c r="M280" s="117"/>
      <c r="N280" s="117"/>
      <c r="O280" s="117"/>
    </row>
    <row r="281" spans="1:15" ht="15">
      <c r="A281" s="117"/>
      <c r="B281" s="117"/>
      <c r="C281" s="117"/>
      <c r="D281" s="117"/>
      <c r="E281" s="63" t="str">
        <f t="shared" si="9"/>
        <v/>
      </c>
      <c r="F281" s="117"/>
      <c r="G281" s="117"/>
      <c r="H281" s="117"/>
      <c r="I281" s="117"/>
      <c r="J281" s="117"/>
      <c r="K281" s="117"/>
      <c r="L281" s="117"/>
      <c r="M281" s="117"/>
      <c r="N281" s="117"/>
      <c r="O281" s="117"/>
    </row>
    <row r="282" spans="1:15" ht="15">
      <c r="A282" s="117"/>
      <c r="B282" s="117"/>
      <c r="C282" s="117"/>
      <c r="D282" s="117"/>
      <c r="E282" s="63" t="str">
        <f t="shared" si="9"/>
        <v/>
      </c>
      <c r="F282" s="117"/>
      <c r="G282" s="117"/>
      <c r="H282" s="117"/>
      <c r="I282" s="117"/>
      <c r="J282" s="117"/>
      <c r="K282" s="117"/>
      <c r="L282" s="117"/>
      <c r="M282" s="117"/>
      <c r="N282" s="117"/>
      <c r="O282" s="117"/>
    </row>
    <row r="283" spans="1:15" ht="15">
      <c r="A283" s="117"/>
      <c r="B283" s="117"/>
      <c r="C283" s="117"/>
      <c r="D283" s="117"/>
      <c r="E283" s="63" t="str">
        <f t="shared" si="9"/>
        <v/>
      </c>
      <c r="F283" s="117"/>
      <c r="G283" s="117"/>
      <c r="H283" s="117"/>
      <c r="I283" s="117"/>
      <c r="J283" s="117"/>
      <c r="K283" s="117"/>
      <c r="L283" s="117"/>
      <c r="M283" s="117"/>
      <c r="N283" s="117"/>
      <c r="O283" s="117"/>
    </row>
    <row r="284" spans="1:15" ht="15">
      <c r="A284" s="117"/>
      <c r="B284" s="117"/>
      <c r="C284" s="117"/>
      <c r="D284" s="117"/>
      <c r="E284" s="63" t="str">
        <f t="shared" si="9"/>
        <v/>
      </c>
      <c r="F284" s="117"/>
      <c r="G284" s="117"/>
      <c r="H284" s="117"/>
      <c r="I284" s="117"/>
      <c r="J284" s="117"/>
      <c r="K284" s="117"/>
      <c r="L284" s="117"/>
      <c r="M284" s="117"/>
      <c r="N284" s="117"/>
      <c r="O284" s="117"/>
    </row>
    <row r="285" spans="1:15" ht="15">
      <c r="A285" s="117"/>
      <c r="B285" s="117"/>
      <c r="C285" s="117"/>
      <c r="D285" s="117"/>
      <c r="E285" s="63" t="str">
        <f t="shared" si="9"/>
        <v/>
      </c>
      <c r="F285" s="117"/>
      <c r="G285" s="117"/>
      <c r="H285" s="117"/>
      <c r="I285" s="117"/>
      <c r="J285" s="117"/>
      <c r="K285" s="117"/>
      <c r="L285" s="117"/>
      <c r="M285" s="117"/>
      <c r="N285" s="117"/>
      <c r="O285" s="117"/>
    </row>
    <row r="286" spans="1:15" ht="15">
      <c r="A286" s="117"/>
      <c r="B286" s="117"/>
      <c r="C286" s="117"/>
      <c r="D286" s="117"/>
      <c r="E286" s="63" t="str">
        <f t="shared" si="9"/>
        <v/>
      </c>
      <c r="F286" s="117"/>
      <c r="G286" s="117"/>
      <c r="H286" s="117"/>
      <c r="I286" s="117"/>
      <c r="J286" s="117"/>
      <c r="K286" s="117"/>
      <c r="L286" s="117"/>
      <c r="M286" s="117"/>
      <c r="N286" s="117"/>
      <c r="O286" s="117"/>
    </row>
    <row r="287" spans="1:15" ht="15">
      <c r="A287" s="117"/>
      <c r="B287" s="117"/>
      <c r="C287" s="117"/>
      <c r="D287" s="117"/>
      <c r="E287" s="63" t="str">
        <f t="shared" si="9"/>
        <v/>
      </c>
      <c r="F287" s="117"/>
      <c r="G287" s="117"/>
      <c r="H287" s="117"/>
      <c r="I287" s="117"/>
      <c r="J287" s="117"/>
      <c r="K287" s="117"/>
      <c r="L287" s="117"/>
      <c r="M287" s="117"/>
      <c r="N287" s="117"/>
      <c r="O287" s="117"/>
    </row>
    <row r="288" spans="1:15" ht="15">
      <c r="A288" s="117"/>
      <c r="B288" s="117"/>
      <c r="C288" s="117"/>
      <c r="D288" s="117"/>
      <c r="E288" s="63" t="str">
        <f t="shared" si="9"/>
        <v/>
      </c>
      <c r="F288" s="117"/>
      <c r="G288" s="117"/>
      <c r="H288" s="117"/>
      <c r="I288" s="117"/>
      <c r="J288" s="117"/>
      <c r="K288" s="117"/>
      <c r="L288" s="117"/>
      <c r="M288" s="117"/>
      <c r="N288" s="117"/>
      <c r="O288" s="117"/>
    </row>
    <row r="289" spans="1:15" ht="15">
      <c r="A289" s="117"/>
      <c r="B289" s="117"/>
      <c r="C289" s="117"/>
      <c r="D289" s="117"/>
      <c r="E289" s="63" t="str">
        <f t="shared" si="9"/>
        <v/>
      </c>
      <c r="F289" s="117"/>
      <c r="G289" s="117"/>
      <c r="H289" s="117"/>
      <c r="I289" s="117"/>
      <c r="J289" s="117"/>
      <c r="K289" s="117"/>
      <c r="L289" s="117"/>
      <c r="M289" s="117"/>
      <c r="N289" s="117"/>
      <c r="O289" s="117"/>
    </row>
    <row r="290" spans="1:15" ht="15">
      <c r="A290" s="117"/>
      <c r="B290" s="117"/>
      <c r="C290" s="117"/>
      <c r="D290" s="117"/>
      <c r="E290" s="63" t="str">
        <f t="shared" si="9"/>
        <v/>
      </c>
      <c r="F290" s="117"/>
      <c r="G290" s="117"/>
      <c r="H290" s="117"/>
      <c r="I290" s="117"/>
      <c r="J290" s="117"/>
      <c r="K290" s="117"/>
      <c r="L290" s="117"/>
      <c r="M290" s="117"/>
      <c r="N290" s="117"/>
      <c r="O290" s="117"/>
    </row>
    <row r="291" spans="1:15" ht="15">
      <c r="A291" s="117"/>
      <c r="B291" s="117"/>
      <c r="C291" s="117"/>
      <c r="D291" s="117"/>
      <c r="E291" s="63" t="str">
        <f t="shared" si="9"/>
        <v/>
      </c>
      <c r="F291" s="117"/>
      <c r="G291" s="117"/>
      <c r="H291" s="117"/>
      <c r="I291" s="117"/>
      <c r="J291" s="117"/>
      <c r="K291" s="117"/>
      <c r="L291" s="117"/>
      <c r="M291" s="117"/>
      <c r="N291" s="117"/>
      <c r="O291" s="117"/>
    </row>
    <row r="292" spans="1:15" ht="15">
      <c r="A292" s="117"/>
      <c r="B292" s="117"/>
      <c r="C292" s="117"/>
      <c r="D292" s="117"/>
      <c r="E292" s="63" t="str">
        <f t="shared" si="9"/>
        <v/>
      </c>
      <c r="F292" s="117"/>
      <c r="G292" s="117"/>
      <c r="H292" s="117"/>
      <c r="I292" s="117"/>
      <c r="J292" s="117"/>
      <c r="K292" s="117"/>
      <c r="L292" s="117"/>
      <c r="M292" s="117"/>
      <c r="N292" s="117"/>
      <c r="O292" s="117"/>
    </row>
    <row r="293" spans="1:15" ht="15">
      <c r="A293" s="117"/>
      <c r="B293" s="117"/>
      <c r="C293" s="117"/>
      <c r="D293" s="117"/>
      <c r="E293" s="63" t="str">
        <f t="shared" si="9"/>
        <v/>
      </c>
      <c r="F293" s="117"/>
      <c r="G293" s="117"/>
      <c r="H293" s="117"/>
      <c r="I293" s="117"/>
      <c r="J293" s="117"/>
      <c r="K293" s="117"/>
      <c r="L293" s="117"/>
      <c r="M293" s="117"/>
      <c r="N293" s="117"/>
      <c r="O293" s="117"/>
    </row>
    <row r="294" spans="1:15" ht="15">
      <c r="A294" s="117"/>
      <c r="B294" s="117"/>
      <c r="C294" s="117"/>
      <c r="D294" s="117"/>
      <c r="E294" s="63" t="str">
        <f t="shared" si="9"/>
        <v/>
      </c>
      <c r="F294" s="117"/>
      <c r="G294" s="117"/>
      <c r="H294" s="117"/>
      <c r="I294" s="117"/>
      <c r="J294" s="117"/>
      <c r="K294" s="117"/>
      <c r="L294" s="117"/>
      <c r="M294" s="117"/>
      <c r="N294" s="117"/>
      <c r="O294" s="117"/>
    </row>
    <row r="295" spans="1:15" ht="15">
      <c r="A295" s="117"/>
      <c r="B295" s="117"/>
      <c r="C295" s="117"/>
      <c r="D295" s="117"/>
      <c r="E295" s="63" t="str">
        <f t="shared" si="9"/>
        <v/>
      </c>
      <c r="F295" s="117"/>
      <c r="G295" s="117"/>
      <c r="H295" s="117"/>
      <c r="I295" s="117"/>
      <c r="J295" s="117"/>
      <c r="K295" s="117"/>
      <c r="L295" s="117"/>
      <c r="M295" s="117"/>
      <c r="N295" s="117"/>
      <c r="O295" s="117"/>
    </row>
    <row r="296" spans="1:15" ht="15">
      <c r="A296" s="117"/>
      <c r="B296" s="117"/>
      <c r="C296" s="117"/>
      <c r="D296" s="117"/>
      <c r="E296" s="63" t="str">
        <f t="shared" si="9"/>
        <v/>
      </c>
      <c r="F296" s="117"/>
      <c r="G296" s="117"/>
      <c r="H296" s="117"/>
      <c r="I296" s="117"/>
      <c r="J296" s="117"/>
      <c r="K296" s="117"/>
      <c r="L296" s="117"/>
      <c r="M296" s="117"/>
      <c r="N296" s="117"/>
      <c r="O296" s="117"/>
    </row>
    <row r="297" spans="1:15" ht="15">
      <c r="A297" s="117"/>
      <c r="B297" s="117"/>
      <c r="C297" s="117"/>
      <c r="D297" s="117"/>
      <c r="E297" s="63" t="str">
        <f t="shared" si="9"/>
        <v/>
      </c>
      <c r="F297" s="117"/>
      <c r="G297" s="117"/>
      <c r="H297" s="117"/>
      <c r="I297" s="117"/>
      <c r="J297" s="117"/>
      <c r="K297" s="117"/>
      <c r="L297" s="117"/>
      <c r="M297" s="117"/>
      <c r="N297" s="117"/>
      <c r="O297" s="117"/>
    </row>
    <row r="298" spans="1:15" ht="15">
      <c r="A298" s="117"/>
      <c r="B298" s="117"/>
      <c r="C298" s="117"/>
      <c r="D298" s="117"/>
      <c r="E298" s="63" t="str">
        <f t="shared" si="9"/>
        <v/>
      </c>
      <c r="F298" s="117"/>
      <c r="G298" s="117"/>
      <c r="H298" s="117"/>
      <c r="I298" s="117"/>
      <c r="J298" s="117"/>
      <c r="K298" s="117"/>
      <c r="L298" s="117"/>
      <c r="M298" s="117"/>
      <c r="N298" s="117"/>
      <c r="O298" s="117"/>
    </row>
    <row r="299" spans="1:15" ht="15">
      <c r="A299" s="117"/>
      <c r="B299" s="117"/>
      <c r="C299" s="117"/>
      <c r="D299" s="117"/>
      <c r="E299" s="63" t="str">
        <f t="shared" ref="E299:E362" si="10">IF(OR(C299="",D299=""),"",C299*D299)</f>
        <v/>
      </c>
      <c r="F299" s="117"/>
      <c r="G299" s="117"/>
      <c r="H299" s="117"/>
      <c r="I299" s="117"/>
      <c r="J299" s="117"/>
      <c r="K299" s="117"/>
      <c r="L299" s="117"/>
      <c r="M299" s="117"/>
      <c r="N299" s="117"/>
      <c r="O299" s="117"/>
    </row>
    <row r="300" spans="1:15" ht="15">
      <c r="A300" s="117"/>
      <c r="B300" s="117"/>
      <c r="C300" s="117"/>
      <c r="D300" s="117"/>
      <c r="E300" s="63" t="str">
        <f t="shared" si="10"/>
        <v/>
      </c>
      <c r="F300" s="117"/>
      <c r="G300" s="117"/>
      <c r="H300" s="117"/>
      <c r="I300" s="117"/>
      <c r="J300" s="117"/>
      <c r="K300" s="117"/>
      <c r="L300" s="117"/>
      <c r="M300" s="117"/>
      <c r="N300" s="117"/>
      <c r="O300" s="117"/>
    </row>
    <row r="301" spans="1:15" ht="15">
      <c r="A301" s="117"/>
      <c r="B301" s="117"/>
      <c r="C301" s="117"/>
      <c r="D301" s="117"/>
      <c r="E301" s="63" t="str">
        <f t="shared" si="10"/>
        <v/>
      </c>
      <c r="F301" s="117"/>
      <c r="G301" s="117"/>
      <c r="H301" s="117"/>
      <c r="I301" s="117"/>
      <c r="J301" s="117"/>
      <c r="K301" s="117"/>
      <c r="L301" s="117"/>
      <c r="M301" s="117"/>
      <c r="N301" s="117"/>
      <c r="O301" s="117"/>
    </row>
    <row r="302" spans="1:15" ht="15">
      <c r="A302" s="117"/>
      <c r="B302" s="117"/>
      <c r="C302" s="117"/>
      <c r="D302" s="117"/>
      <c r="E302" s="63" t="str">
        <f t="shared" si="10"/>
        <v/>
      </c>
      <c r="F302" s="117"/>
      <c r="G302" s="117"/>
      <c r="H302" s="117"/>
      <c r="I302" s="117"/>
      <c r="J302" s="117"/>
      <c r="K302" s="117"/>
      <c r="L302" s="117"/>
      <c r="M302" s="117"/>
      <c r="N302" s="117"/>
      <c r="O302" s="117"/>
    </row>
    <row r="303" spans="1:15" ht="15">
      <c r="A303" s="117"/>
      <c r="B303" s="117"/>
      <c r="C303" s="117"/>
      <c r="D303" s="117"/>
      <c r="E303" s="63" t="str">
        <f t="shared" si="10"/>
        <v/>
      </c>
      <c r="F303" s="117"/>
      <c r="G303" s="117"/>
      <c r="H303" s="117"/>
      <c r="I303" s="117"/>
      <c r="J303" s="117"/>
      <c r="K303" s="117"/>
      <c r="L303" s="117"/>
      <c r="M303" s="117"/>
      <c r="N303" s="117"/>
      <c r="O303" s="117"/>
    </row>
    <row r="304" spans="1:15" ht="15">
      <c r="A304" s="117"/>
      <c r="B304" s="117"/>
      <c r="C304" s="117"/>
      <c r="D304" s="117"/>
      <c r="E304" s="63" t="str">
        <f t="shared" si="10"/>
        <v/>
      </c>
      <c r="F304" s="117"/>
      <c r="G304" s="117"/>
      <c r="H304" s="117"/>
      <c r="I304" s="117"/>
      <c r="J304" s="117"/>
      <c r="K304" s="117"/>
      <c r="L304" s="117"/>
      <c r="M304" s="117"/>
      <c r="N304" s="117"/>
      <c r="O304" s="117"/>
    </row>
    <row r="305" spans="1:15" ht="15">
      <c r="A305" s="117"/>
      <c r="B305" s="117"/>
      <c r="C305" s="117"/>
      <c r="D305" s="117"/>
      <c r="E305" s="63" t="str">
        <f t="shared" si="10"/>
        <v/>
      </c>
      <c r="F305" s="117"/>
      <c r="G305" s="117"/>
      <c r="H305" s="117"/>
      <c r="I305" s="117"/>
      <c r="J305" s="117"/>
      <c r="K305" s="117"/>
      <c r="L305" s="117"/>
      <c r="M305" s="117"/>
      <c r="N305" s="117"/>
      <c r="O305" s="117"/>
    </row>
    <row r="306" spans="1:15" ht="15">
      <c r="A306" s="117"/>
      <c r="B306" s="117"/>
      <c r="C306" s="117"/>
      <c r="D306" s="117"/>
      <c r="E306" s="63" t="str">
        <f t="shared" si="10"/>
        <v/>
      </c>
      <c r="F306" s="117"/>
      <c r="G306" s="117"/>
      <c r="H306" s="117"/>
      <c r="I306" s="117"/>
      <c r="J306" s="117"/>
      <c r="K306" s="117"/>
      <c r="L306" s="117"/>
      <c r="M306" s="117"/>
      <c r="N306" s="117"/>
      <c r="O306" s="117"/>
    </row>
    <row r="307" spans="1:15" ht="15">
      <c r="A307" s="117"/>
      <c r="B307" s="117"/>
      <c r="C307" s="117"/>
      <c r="D307" s="117"/>
      <c r="E307" s="63" t="str">
        <f t="shared" si="10"/>
        <v/>
      </c>
      <c r="F307" s="117"/>
      <c r="G307" s="117"/>
      <c r="H307" s="117"/>
      <c r="I307" s="117"/>
      <c r="J307" s="117"/>
      <c r="K307" s="117"/>
      <c r="L307" s="117"/>
      <c r="M307" s="117"/>
      <c r="N307" s="117"/>
      <c r="O307" s="117"/>
    </row>
    <row r="308" spans="1:15" ht="15">
      <c r="A308" s="117"/>
      <c r="B308" s="117"/>
      <c r="C308" s="117"/>
      <c r="D308" s="117"/>
      <c r="E308" s="63" t="str">
        <f t="shared" si="10"/>
        <v/>
      </c>
      <c r="F308" s="117"/>
      <c r="G308" s="117"/>
      <c r="H308" s="117"/>
      <c r="I308" s="117"/>
      <c r="J308" s="117"/>
      <c r="K308" s="117"/>
      <c r="L308" s="117"/>
      <c r="M308" s="117"/>
      <c r="N308" s="117"/>
      <c r="O308" s="117"/>
    </row>
    <row r="309" spans="1:15" ht="15">
      <c r="A309" s="117"/>
      <c r="B309" s="117"/>
      <c r="C309" s="117"/>
      <c r="D309" s="117"/>
      <c r="E309" s="63" t="str">
        <f t="shared" si="10"/>
        <v/>
      </c>
      <c r="F309" s="117"/>
      <c r="G309" s="117"/>
      <c r="H309" s="117"/>
      <c r="I309" s="117"/>
      <c r="J309" s="117"/>
      <c r="K309" s="117"/>
      <c r="L309" s="117"/>
      <c r="M309" s="117"/>
      <c r="N309" s="117"/>
      <c r="O309" s="117"/>
    </row>
    <row r="310" spans="1:15" ht="15">
      <c r="A310" s="117"/>
      <c r="B310" s="117"/>
      <c r="C310" s="117"/>
      <c r="D310" s="117"/>
      <c r="E310" s="63" t="str">
        <f t="shared" si="10"/>
        <v/>
      </c>
      <c r="F310" s="117"/>
      <c r="G310" s="117"/>
      <c r="H310" s="117"/>
      <c r="I310" s="117"/>
      <c r="J310" s="117"/>
      <c r="K310" s="117"/>
      <c r="L310" s="117"/>
      <c r="M310" s="117"/>
      <c r="N310" s="117"/>
      <c r="O310" s="117"/>
    </row>
    <row r="311" spans="1:15" ht="15">
      <c r="A311" s="117"/>
      <c r="B311" s="117"/>
      <c r="C311" s="117"/>
      <c r="D311" s="117"/>
      <c r="E311" s="63" t="str">
        <f t="shared" si="10"/>
        <v/>
      </c>
      <c r="F311" s="117"/>
      <c r="G311" s="117"/>
      <c r="H311" s="117"/>
      <c r="I311" s="117"/>
      <c r="J311" s="117"/>
      <c r="K311" s="117"/>
      <c r="L311" s="117"/>
      <c r="M311" s="117"/>
      <c r="N311" s="117"/>
      <c r="O311" s="117"/>
    </row>
    <row r="312" spans="1:15" ht="15">
      <c r="A312" s="117"/>
      <c r="B312" s="117"/>
      <c r="C312" s="117"/>
      <c r="D312" s="117"/>
      <c r="E312" s="63" t="str">
        <f t="shared" si="10"/>
        <v/>
      </c>
      <c r="F312" s="117"/>
      <c r="G312" s="117"/>
      <c r="H312" s="117"/>
      <c r="I312" s="117"/>
      <c r="J312" s="117"/>
      <c r="K312" s="117"/>
      <c r="L312" s="117"/>
      <c r="M312" s="117"/>
      <c r="N312" s="117"/>
      <c r="O312" s="117"/>
    </row>
    <row r="313" spans="1:15" ht="15">
      <c r="A313" s="117"/>
      <c r="B313" s="117"/>
      <c r="C313" s="117"/>
      <c r="D313" s="117"/>
      <c r="E313" s="63" t="str">
        <f t="shared" si="10"/>
        <v/>
      </c>
      <c r="F313" s="117"/>
      <c r="G313" s="117"/>
      <c r="H313" s="117"/>
      <c r="I313" s="117"/>
      <c r="J313" s="117"/>
      <c r="K313" s="117"/>
      <c r="L313" s="117"/>
      <c r="M313" s="117"/>
      <c r="N313" s="117"/>
      <c r="O313" s="117"/>
    </row>
    <row r="314" spans="1:15" ht="15">
      <c r="A314" s="117"/>
      <c r="B314" s="117"/>
      <c r="C314" s="117"/>
      <c r="D314" s="117"/>
      <c r="E314" s="63" t="str">
        <f t="shared" si="10"/>
        <v/>
      </c>
      <c r="F314" s="117"/>
      <c r="G314" s="117"/>
      <c r="H314" s="117"/>
      <c r="I314" s="117"/>
      <c r="J314" s="117"/>
      <c r="K314" s="117"/>
      <c r="L314" s="117"/>
      <c r="M314" s="117"/>
      <c r="N314" s="117"/>
      <c r="O314" s="117"/>
    </row>
    <row r="315" spans="1:15" ht="15">
      <c r="A315" s="117"/>
      <c r="B315" s="117"/>
      <c r="C315" s="117"/>
      <c r="D315" s="117"/>
      <c r="E315" s="63" t="str">
        <f t="shared" si="10"/>
        <v/>
      </c>
      <c r="F315" s="117"/>
      <c r="G315" s="117"/>
      <c r="H315" s="117"/>
      <c r="I315" s="117"/>
      <c r="J315" s="117"/>
      <c r="K315" s="117"/>
      <c r="L315" s="117"/>
      <c r="M315" s="117"/>
      <c r="N315" s="117"/>
      <c r="O315" s="117"/>
    </row>
    <row r="316" spans="1:15" ht="15">
      <c r="A316" s="117"/>
      <c r="B316" s="117"/>
      <c r="C316" s="117"/>
      <c r="D316" s="117"/>
      <c r="E316" s="63" t="str">
        <f t="shared" si="10"/>
        <v/>
      </c>
      <c r="F316" s="117"/>
      <c r="G316" s="117"/>
      <c r="H316" s="117"/>
      <c r="I316" s="117"/>
      <c r="J316" s="117"/>
      <c r="K316" s="117"/>
      <c r="L316" s="117"/>
      <c r="M316" s="117"/>
      <c r="N316" s="117"/>
      <c r="O316" s="117"/>
    </row>
    <row r="317" spans="1:15" ht="15">
      <c r="A317" s="117"/>
      <c r="B317" s="117"/>
      <c r="C317" s="117"/>
      <c r="D317" s="117"/>
      <c r="E317" s="63" t="str">
        <f t="shared" si="10"/>
        <v/>
      </c>
      <c r="F317" s="117"/>
      <c r="G317" s="117"/>
      <c r="H317" s="117"/>
      <c r="I317" s="117"/>
      <c r="J317" s="117"/>
      <c r="K317" s="117"/>
      <c r="L317" s="117"/>
      <c r="M317" s="117"/>
      <c r="N317" s="117"/>
      <c r="O317" s="117"/>
    </row>
    <row r="318" spans="1:15" ht="15">
      <c r="A318" s="117"/>
      <c r="B318" s="117"/>
      <c r="C318" s="117"/>
      <c r="D318" s="117"/>
      <c r="E318" s="63" t="str">
        <f t="shared" si="10"/>
        <v/>
      </c>
      <c r="F318" s="117"/>
      <c r="G318" s="117"/>
      <c r="H318" s="117"/>
      <c r="I318" s="117"/>
      <c r="J318" s="117"/>
      <c r="K318" s="117"/>
      <c r="L318" s="117"/>
      <c r="M318" s="117"/>
      <c r="N318" s="117"/>
      <c r="O318" s="117"/>
    </row>
    <row r="319" spans="1:15" ht="15">
      <c r="A319" s="117"/>
      <c r="B319" s="117"/>
      <c r="C319" s="117"/>
      <c r="D319" s="117"/>
      <c r="E319" s="63" t="str">
        <f t="shared" si="10"/>
        <v/>
      </c>
      <c r="F319" s="117"/>
      <c r="G319" s="117"/>
      <c r="H319" s="117"/>
      <c r="I319" s="117"/>
      <c r="J319" s="117"/>
      <c r="K319" s="117"/>
      <c r="L319" s="117"/>
      <c r="M319" s="117"/>
      <c r="N319" s="117"/>
      <c r="O319" s="117"/>
    </row>
    <row r="320" spans="1:15" ht="15">
      <c r="A320" s="117"/>
      <c r="B320" s="117"/>
      <c r="C320" s="117"/>
      <c r="D320" s="117"/>
      <c r="E320" s="63" t="str">
        <f t="shared" si="10"/>
        <v/>
      </c>
      <c r="F320" s="117"/>
      <c r="G320" s="117"/>
      <c r="H320" s="117"/>
      <c r="I320" s="117"/>
      <c r="J320" s="117"/>
      <c r="K320" s="117"/>
      <c r="L320" s="117"/>
      <c r="M320" s="117"/>
      <c r="N320" s="117"/>
      <c r="O320" s="117"/>
    </row>
    <row r="321" spans="1:15" ht="15">
      <c r="A321" s="117"/>
      <c r="B321" s="117"/>
      <c r="C321" s="117"/>
      <c r="D321" s="117"/>
      <c r="E321" s="63" t="str">
        <f t="shared" si="10"/>
        <v/>
      </c>
      <c r="F321" s="117"/>
      <c r="G321" s="117"/>
      <c r="H321" s="117"/>
      <c r="I321" s="117"/>
      <c r="J321" s="117"/>
      <c r="K321" s="117"/>
      <c r="L321" s="117"/>
      <c r="M321" s="117"/>
      <c r="N321" s="117"/>
      <c r="O321" s="117"/>
    </row>
    <row r="322" spans="1:15" ht="15">
      <c r="A322" s="117"/>
      <c r="B322" s="117"/>
      <c r="C322" s="117"/>
      <c r="D322" s="117"/>
      <c r="E322" s="63" t="str">
        <f t="shared" si="10"/>
        <v/>
      </c>
      <c r="F322" s="117"/>
      <c r="G322" s="117"/>
      <c r="H322" s="117"/>
      <c r="I322" s="117"/>
      <c r="J322" s="117"/>
      <c r="K322" s="117"/>
      <c r="L322" s="117"/>
      <c r="M322" s="117"/>
      <c r="N322" s="117"/>
      <c r="O322" s="117"/>
    </row>
    <row r="323" spans="1:15" ht="15">
      <c r="A323" s="117"/>
      <c r="B323" s="117"/>
      <c r="C323" s="117"/>
      <c r="D323" s="117"/>
      <c r="E323" s="63" t="str">
        <f t="shared" si="10"/>
        <v/>
      </c>
      <c r="F323" s="117"/>
      <c r="G323" s="117"/>
      <c r="H323" s="117"/>
      <c r="I323" s="117"/>
      <c r="J323" s="117"/>
      <c r="K323" s="117"/>
      <c r="L323" s="117"/>
      <c r="M323" s="117"/>
      <c r="N323" s="117"/>
      <c r="O323" s="117"/>
    </row>
    <row r="324" spans="1:15" ht="15">
      <c r="A324" s="117"/>
      <c r="B324" s="117"/>
      <c r="C324" s="117"/>
      <c r="D324" s="117"/>
      <c r="E324" s="63" t="str">
        <f t="shared" si="10"/>
        <v/>
      </c>
      <c r="F324" s="117"/>
      <c r="G324" s="117"/>
      <c r="H324" s="117"/>
      <c r="I324" s="117"/>
      <c r="J324" s="117"/>
      <c r="K324" s="117"/>
      <c r="L324" s="117"/>
      <c r="M324" s="117"/>
      <c r="N324" s="117"/>
      <c r="O324" s="117"/>
    </row>
    <row r="325" spans="1:15" ht="15">
      <c r="A325" s="117"/>
      <c r="B325" s="117"/>
      <c r="C325" s="117"/>
      <c r="D325" s="117"/>
      <c r="E325" s="63" t="str">
        <f t="shared" si="10"/>
        <v/>
      </c>
      <c r="F325" s="117"/>
      <c r="G325" s="117"/>
      <c r="H325" s="117"/>
      <c r="I325" s="117"/>
      <c r="J325" s="117"/>
      <c r="K325" s="117"/>
      <c r="L325" s="117"/>
      <c r="M325" s="117"/>
      <c r="N325" s="117"/>
      <c r="O325" s="117"/>
    </row>
    <row r="326" spans="1:15" ht="15">
      <c r="A326" s="117"/>
      <c r="B326" s="117"/>
      <c r="C326" s="117"/>
      <c r="D326" s="117"/>
      <c r="E326" s="63" t="str">
        <f t="shared" si="10"/>
        <v/>
      </c>
      <c r="F326" s="117"/>
      <c r="G326" s="117"/>
      <c r="H326" s="117"/>
      <c r="I326" s="117"/>
      <c r="J326" s="117"/>
      <c r="K326" s="117"/>
      <c r="L326" s="117"/>
      <c r="M326" s="117"/>
      <c r="N326" s="117"/>
      <c r="O326" s="117"/>
    </row>
    <row r="327" spans="1:15" ht="15">
      <c r="A327" s="117"/>
      <c r="B327" s="117"/>
      <c r="C327" s="117"/>
      <c r="D327" s="117"/>
      <c r="E327" s="63" t="str">
        <f t="shared" si="10"/>
        <v/>
      </c>
      <c r="F327" s="117"/>
      <c r="G327" s="117"/>
      <c r="H327" s="117"/>
      <c r="I327" s="117"/>
      <c r="J327" s="117"/>
      <c r="K327" s="117"/>
      <c r="L327" s="117"/>
      <c r="M327" s="117"/>
      <c r="N327" s="117"/>
      <c r="O327" s="117"/>
    </row>
    <row r="328" spans="1:15" ht="15">
      <c r="A328" s="117"/>
      <c r="B328" s="117"/>
      <c r="C328" s="117"/>
      <c r="D328" s="117"/>
      <c r="E328" s="63" t="str">
        <f t="shared" si="10"/>
        <v/>
      </c>
      <c r="F328" s="117"/>
      <c r="G328" s="117"/>
      <c r="H328" s="117"/>
      <c r="I328" s="117"/>
      <c r="J328" s="117"/>
      <c r="K328" s="117"/>
      <c r="L328" s="117"/>
      <c r="M328" s="117"/>
      <c r="N328" s="117"/>
      <c r="O328" s="117"/>
    </row>
    <row r="329" spans="1:15" ht="15">
      <c r="A329" s="117"/>
      <c r="B329" s="117"/>
      <c r="C329" s="117"/>
      <c r="D329" s="117"/>
      <c r="E329" s="63" t="str">
        <f t="shared" si="10"/>
        <v/>
      </c>
      <c r="F329" s="117"/>
      <c r="G329" s="117"/>
      <c r="H329" s="117"/>
      <c r="I329" s="117"/>
      <c r="J329" s="117"/>
      <c r="K329" s="117"/>
      <c r="L329" s="117"/>
      <c r="M329" s="117"/>
      <c r="N329" s="117"/>
      <c r="O329" s="117"/>
    </row>
    <row r="330" spans="1:15" ht="15">
      <c r="A330" s="117"/>
      <c r="B330" s="117"/>
      <c r="C330" s="117"/>
      <c r="D330" s="117"/>
      <c r="E330" s="63" t="str">
        <f t="shared" si="10"/>
        <v/>
      </c>
      <c r="F330" s="117"/>
      <c r="G330" s="117"/>
      <c r="H330" s="117"/>
      <c r="I330" s="117"/>
      <c r="J330" s="117"/>
      <c r="K330" s="117"/>
      <c r="L330" s="117"/>
      <c r="M330" s="117"/>
      <c r="N330" s="117"/>
      <c r="O330" s="117"/>
    </row>
    <row r="331" spans="1:15" ht="15">
      <c r="A331" s="117"/>
      <c r="B331" s="117"/>
      <c r="C331" s="117"/>
      <c r="D331" s="117"/>
      <c r="E331" s="63" t="str">
        <f t="shared" si="10"/>
        <v/>
      </c>
      <c r="F331" s="117"/>
      <c r="G331" s="117"/>
      <c r="H331" s="117"/>
      <c r="I331" s="117"/>
      <c r="J331" s="117"/>
      <c r="K331" s="117"/>
      <c r="L331" s="117"/>
      <c r="M331" s="117"/>
      <c r="N331" s="117"/>
      <c r="O331" s="117"/>
    </row>
    <row r="332" spans="1:15" ht="15">
      <c r="A332" s="117"/>
      <c r="B332" s="117"/>
      <c r="C332" s="117"/>
      <c r="D332" s="117"/>
      <c r="E332" s="63" t="str">
        <f t="shared" si="10"/>
        <v/>
      </c>
      <c r="F332" s="117"/>
      <c r="G332" s="117"/>
      <c r="H332" s="117"/>
      <c r="I332" s="117"/>
      <c r="J332" s="117"/>
      <c r="K332" s="117"/>
      <c r="L332" s="117"/>
      <c r="M332" s="117"/>
      <c r="N332" s="117"/>
      <c r="O332" s="117"/>
    </row>
    <row r="333" spans="1:15" ht="15">
      <c r="A333" s="117"/>
      <c r="B333" s="117"/>
      <c r="C333" s="117"/>
      <c r="D333" s="117"/>
      <c r="E333" s="63" t="str">
        <f t="shared" si="10"/>
        <v/>
      </c>
      <c r="F333" s="117"/>
      <c r="G333" s="117"/>
      <c r="H333" s="117"/>
      <c r="I333" s="117"/>
      <c r="J333" s="117"/>
      <c r="K333" s="117"/>
      <c r="L333" s="117"/>
      <c r="M333" s="117"/>
      <c r="N333" s="117"/>
      <c r="O333" s="117"/>
    </row>
    <row r="334" spans="1:15" ht="15">
      <c r="A334" s="117"/>
      <c r="B334" s="117"/>
      <c r="C334" s="117"/>
      <c r="D334" s="117"/>
      <c r="E334" s="63" t="str">
        <f t="shared" si="10"/>
        <v/>
      </c>
      <c r="F334" s="117"/>
      <c r="G334" s="117"/>
      <c r="H334" s="117"/>
      <c r="I334" s="117"/>
      <c r="J334" s="117"/>
      <c r="K334" s="117"/>
      <c r="L334" s="117"/>
      <c r="M334" s="117"/>
      <c r="N334" s="117"/>
      <c r="O334" s="117"/>
    </row>
    <row r="335" spans="1:15" ht="15">
      <c r="A335" s="117"/>
      <c r="B335" s="117"/>
      <c r="C335" s="117"/>
      <c r="D335" s="117"/>
      <c r="E335" s="63" t="str">
        <f t="shared" si="10"/>
        <v/>
      </c>
      <c r="F335" s="117"/>
      <c r="G335" s="117"/>
      <c r="H335" s="117"/>
      <c r="I335" s="117"/>
      <c r="J335" s="117"/>
      <c r="K335" s="117"/>
      <c r="L335" s="117"/>
      <c r="M335" s="117"/>
      <c r="N335" s="117"/>
      <c r="O335" s="117"/>
    </row>
    <row r="336" spans="1:15" ht="15">
      <c r="A336" s="117"/>
      <c r="B336" s="117"/>
      <c r="C336" s="117"/>
      <c r="D336" s="117"/>
      <c r="E336" s="63" t="str">
        <f t="shared" si="10"/>
        <v/>
      </c>
      <c r="F336" s="117"/>
      <c r="G336" s="117"/>
      <c r="H336" s="117"/>
      <c r="I336" s="117"/>
      <c r="J336" s="117"/>
      <c r="K336" s="117"/>
      <c r="L336" s="117"/>
      <c r="M336" s="117"/>
      <c r="N336" s="117"/>
      <c r="O336" s="117"/>
    </row>
    <row r="337" spans="1:15" ht="15">
      <c r="A337" s="117"/>
      <c r="B337" s="117"/>
      <c r="C337" s="117"/>
      <c r="D337" s="117"/>
      <c r="E337" s="63" t="str">
        <f t="shared" si="10"/>
        <v/>
      </c>
      <c r="F337" s="117"/>
      <c r="G337" s="117"/>
      <c r="H337" s="117"/>
      <c r="I337" s="117"/>
      <c r="J337" s="117"/>
      <c r="K337" s="117"/>
      <c r="L337" s="117"/>
      <c r="M337" s="117"/>
      <c r="N337" s="117"/>
      <c r="O337" s="117"/>
    </row>
    <row r="338" spans="1:15" ht="15">
      <c r="A338" s="117"/>
      <c r="B338" s="117"/>
      <c r="C338" s="117"/>
      <c r="D338" s="117"/>
      <c r="E338" s="63" t="str">
        <f t="shared" si="10"/>
        <v/>
      </c>
      <c r="F338" s="117"/>
      <c r="G338" s="117"/>
      <c r="H338" s="117"/>
      <c r="I338" s="117"/>
      <c r="J338" s="117"/>
      <c r="K338" s="117"/>
      <c r="L338" s="117"/>
      <c r="M338" s="117"/>
      <c r="N338" s="117"/>
      <c r="O338" s="117"/>
    </row>
    <row r="339" spans="1:15" ht="15">
      <c r="A339" s="117"/>
      <c r="B339" s="117"/>
      <c r="C339" s="117"/>
      <c r="D339" s="117"/>
      <c r="E339" s="63" t="str">
        <f t="shared" si="10"/>
        <v/>
      </c>
      <c r="F339" s="117"/>
      <c r="G339" s="117"/>
      <c r="H339" s="117"/>
      <c r="I339" s="117"/>
      <c r="J339" s="117"/>
      <c r="K339" s="117"/>
      <c r="L339" s="117"/>
      <c r="M339" s="117"/>
      <c r="N339" s="117"/>
      <c r="O339" s="117"/>
    </row>
    <row r="340" spans="1:15" ht="15">
      <c r="A340" s="117"/>
      <c r="B340" s="117"/>
      <c r="C340" s="117"/>
      <c r="D340" s="117"/>
      <c r="E340" s="63" t="str">
        <f t="shared" si="10"/>
        <v/>
      </c>
      <c r="F340" s="117"/>
      <c r="G340" s="117"/>
      <c r="H340" s="117"/>
      <c r="I340" s="117"/>
      <c r="J340" s="117"/>
      <c r="K340" s="117"/>
      <c r="L340" s="117"/>
      <c r="M340" s="117"/>
      <c r="N340" s="117"/>
      <c r="O340" s="117"/>
    </row>
    <row r="341" spans="1:15" ht="15">
      <c r="A341" s="117"/>
      <c r="B341" s="117"/>
      <c r="C341" s="117"/>
      <c r="D341" s="117"/>
      <c r="E341" s="63" t="str">
        <f t="shared" si="10"/>
        <v/>
      </c>
      <c r="F341" s="117"/>
      <c r="G341" s="117"/>
      <c r="H341" s="117"/>
      <c r="I341" s="117"/>
      <c r="J341" s="117"/>
      <c r="K341" s="117"/>
      <c r="L341" s="117"/>
      <c r="M341" s="117"/>
      <c r="N341" s="117"/>
      <c r="O341" s="117"/>
    </row>
    <row r="342" spans="1:15" ht="15">
      <c r="A342" s="117"/>
      <c r="B342" s="117"/>
      <c r="C342" s="117"/>
      <c r="D342" s="117"/>
      <c r="E342" s="63" t="str">
        <f t="shared" si="10"/>
        <v/>
      </c>
      <c r="F342" s="117"/>
      <c r="G342" s="117"/>
      <c r="H342" s="117"/>
      <c r="I342" s="117"/>
      <c r="J342" s="117"/>
      <c r="K342" s="117"/>
      <c r="L342" s="117"/>
      <c r="M342" s="117"/>
      <c r="N342" s="117"/>
      <c r="O342" s="117"/>
    </row>
    <row r="343" spans="1:15" ht="15">
      <c r="A343" s="117"/>
      <c r="B343" s="117"/>
      <c r="C343" s="117"/>
      <c r="D343" s="117"/>
      <c r="E343" s="63" t="str">
        <f t="shared" si="10"/>
        <v/>
      </c>
      <c r="F343" s="117"/>
      <c r="G343" s="117"/>
      <c r="H343" s="117"/>
      <c r="I343" s="117"/>
      <c r="J343" s="117"/>
      <c r="K343" s="117"/>
      <c r="L343" s="117"/>
      <c r="M343" s="117"/>
      <c r="N343" s="117"/>
      <c r="O343" s="117"/>
    </row>
    <row r="344" spans="1:15" ht="15">
      <c r="A344" s="117"/>
      <c r="B344" s="117"/>
      <c r="C344" s="117"/>
      <c r="D344" s="117"/>
      <c r="E344" s="63" t="str">
        <f t="shared" si="10"/>
        <v/>
      </c>
      <c r="F344" s="117"/>
      <c r="G344" s="117"/>
      <c r="H344" s="117"/>
      <c r="I344" s="117"/>
      <c r="J344" s="117"/>
      <c r="K344" s="117"/>
      <c r="L344" s="117"/>
      <c r="M344" s="117"/>
      <c r="N344" s="117"/>
      <c r="O344" s="117"/>
    </row>
    <row r="345" spans="1:15" ht="15">
      <c r="A345" s="117"/>
      <c r="B345" s="117"/>
      <c r="C345" s="117"/>
      <c r="D345" s="117"/>
      <c r="E345" s="63" t="str">
        <f t="shared" si="10"/>
        <v/>
      </c>
      <c r="F345" s="117"/>
      <c r="G345" s="117"/>
      <c r="H345" s="117"/>
      <c r="I345" s="117"/>
      <c r="J345" s="117"/>
      <c r="K345" s="117"/>
      <c r="L345" s="117"/>
      <c r="M345" s="117"/>
      <c r="N345" s="117"/>
      <c r="O345" s="117"/>
    </row>
    <row r="346" spans="1:15" ht="15">
      <c r="A346" s="117"/>
      <c r="B346" s="117"/>
      <c r="C346" s="117"/>
      <c r="D346" s="117"/>
      <c r="E346" s="63" t="str">
        <f t="shared" si="10"/>
        <v/>
      </c>
      <c r="F346" s="117"/>
      <c r="G346" s="117"/>
      <c r="H346" s="117"/>
      <c r="I346" s="117"/>
      <c r="J346" s="117"/>
      <c r="K346" s="117"/>
      <c r="L346" s="117"/>
      <c r="M346" s="117"/>
      <c r="N346" s="117"/>
      <c r="O346" s="117"/>
    </row>
    <row r="347" spans="1:15" ht="15">
      <c r="A347" s="117"/>
      <c r="B347" s="117"/>
      <c r="C347" s="117"/>
      <c r="D347" s="117"/>
      <c r="E347" s="63" t="str">
        <f t="shared" si="10"/>
        <v/>
      </c>
      <c r="F347" s="117"/>
      <c r="G347" s="117"/>
      <c r="H347" s="117"/>
      <c r="I347" s="117"/>
      <c r="J347" s="117"/>
      <c r="K347" s="117"/>
      <c r="L347" s="117"/>
      <c r="M347" s="117"/>
      <c r="N347" s="117"/>
      <c r="O347" s="117"/>
    </row>
    <row r="348" spans="1:15" ht="15">
      <c r="A348" s="117"/>
      <c r="B348" s="117"/>
      <c r="C348" s="117"/>
      <c r="D348" s="117"/>
      <c r="E348" s="63" t="str">
        <f t="shared" si="10"/>
        <v/>
      </c>
      <c r="F348" s="117"/>
      <c r="G348" s="117"/>
      <c r="H348" s="117"/>
      <c r="I348" s="117"/>
      <c r="J348" s="117"/>
      <c r="K348" s="117"/>
      <c r="L348" s="117"/>
      <c r="M348" s="117"/>
      <c r="N348" s="117"/>
      <c r="O348" s="117"/>
    </row>
    <row r="349" spans="1:15" ht="15">
      <c r="A349" s="117"/>
      <c r="B349" s="117"/>
      <c r="C349" s="117"/>
      <c r="D349" s="117"/>
      <c r="E349" s="63" t="str">
        <f t="shared" si="10"/>
        <v/>
      </c>
      <c r="F349" s="117"/>
      <c r="G349" s="117"/>
      <c r="H349" s="117"/>
      <c r="I349" s="117"/>
      <c r="J349" s="117"/>
      <c r="K349" s="117"/>
      <c r="L349" s="117"/>
      <c r="M349" s="117"/>
      <c r="N349" s="117"/>
      <c r="O349" s="117"/>
    </row>
    <row r="350" spans="1:15" ht="15">
      <c r="A350" s="117"/>
      <c r="B350" s="117"/>
      <c r="C350" s="117"/>
      <c r="D350" s="117"/>
      <c r="E350" s="63" t="str">
        <f t="shared" si="10"/>
        <v/>
      </c>
      <c r="F350" s="117"/>
      <c r="G350" s="117"/>
      <c r="H350" s="117"/>
      <c r="I350" s="117"/>
      <c r="J350" s="117"/>
      <c r="K350" s="117"/>
      <c r="L350" s="117"/>
      <c r="M350" s="117"/>
      <c r="N350" s="117"/>
      <c r="O350" s="117"/>
    </row>
    <row r="351" spans="1:15" ht="15">
      <c r="A351" s="117"/>
      <c r="B351" s="117"/>
      <c r="C351" s="117"/>
      <c r="D351" s="117"/>
      <c r="E351" s="63" t="str">
        <f t="shared" si="10"/>
        <v/>
      </c>
      <c r="F351" s="117"/>
      <c r="G351" s="117"/>
      <c r="H351" s="117"/>
      <c r="I351" s="117"/>
      <c r="J351" s="117"/>
      <c r="K351" s="117"/>
      <c r="L351" s="117"/>
      <c r="M351" s="117"/>
      <c r="N351" s="117"/>
      <c r="O351" s="117"/>
    </row>
    <row r="352" spans="1:15" ht="15">
      <c r="A352" s="117"/>
      <c r="B352" s="117"/>
      <c r="C352" s="117"/>
      <c r="D352" s="117"/>
      <c r="E352" s="63" t="str">
        <f t="shared" si="10"/>
        <v/>
      </c>
      <c r="F352" s="117"/>
      <c r="G352" s="117"/>
      <c r="H352" s="117"/>
      <c r="I352" s="117"/>
      <c r="J352" s="117"/>
      <c r="K352" s="117"/>
      <c r="L352" s="117"/>
      <c r="M352" s="117"/>
      <c r="N352" s="117"/>
      <c r="O352" s="117"/>
    </row>
    <row r="353" spans="1:15" ht="15">
      <c r="A353" s="117"/>
      <c r="B353" s="117"/>
      <c r="C353" s="117"/>
      <c r="D353" s="117"/>
      <c r="E353" s="63" t="str">
        <f t="shared" si="10"/>
        <v/>
      </c>
      <c r="F353" s="117"/>
      <c r="G353" s="117"/>
      <c r="H353" s="117"/>
      <c r="I353" s="117"/>
      <c r="J353" s="117"/>
      <c r="K353" s="117"/>
      <c r="L353" s="117"/>
      <c r="M353" s="117"/>
      <c r="N353" s="117"/>
      <c r="O353" s="117"/>
    </row>
    <row r="354" spans="1:15" ht="15">
      <c r="A354" s="117"/>
      <c r="B354" s="117"/>
      <c r="C354" s="117"/>
      <c r="D354" s="117"/>
      <c r="E354" s="63" t="str">
        <f t="shared" si="10"/>
        <v/>
      </c>
      <c r="F354" s="117"/>
      <c r="G354" s="117"/>
      <c r="H354" s="117"/>
      <c r="I354" s="117"/>
      <c r="J354" s="117"/>
      <c r="K354" s="117"/>
      <c r="L354" s="117"/>
      <c r="M354" s="117"/>
      <c r="N354" s="117"/>
      <c r="O354" s="117"/>
    </row>
    <row r="355" spans="1:15" ht="15">
      <c r="A355" s="117"/>
      <c r="B355" s="117"/>
      <c r="C355" s="117"/>
      <c r="D355" s="117"/>
      <c r="E355" s="63" t="str">
        <f t="shared" si="10"/>
        <v/>
      </c>
      <c r="F355" s="117"/>
      <c r="G355" s="117"/>
      <c r="H355" s="117"/>
      <c r="I355" s="117"/>
      <c r="J355" s="117"/>
      <c r="K355" s="117"/>
      <c r="L355" s="117"/>
      <c r="M355" s="117"/>
      <c r="N355" s="117"/>
      <c r="O355" s="117"/>
    </row>
    <row r="356" spans="1:15" ht="15">
      <c r="A356" s="117"/>
      <c r="B356" s="117"/>
      <c r="C356" s="117"/>
      <c r="D356" s="117"/>
      <c r="E356" s="63" t="str">
        <f t="shared" si="10"/>
        <v/>
      </c>
      <c r="F356" s="117"/>
      <c r="G356" s="117"/>
      <c r="H356" s="117"/>
      <c r="I356" s="117"/>
      <c r="J356" s="117"/>
      <c r="K356" s="117"/>
      <c r="L356" s="117"/>
      <c r="M356" s="117"/>
      <c r="N356" s="117"/>
      <c r="O356" s="117"/>
    </row>
    <row r="357" spans="1:15" ht="15">
      <c r="A357" s="117"/>
      <c r="B357" s="117"/>
      <c r="C357" s="117"/>
      <c r="D357" s="117"/>
      <c r="E357" s="63" t="str">
        <f t="shared" si="10"/>
        <v/>
      </c>
      <c r="F357" s="117"/>
      <c r="G357" s="117"/>
      <c r="H357" s="117"/>
      <c r="I357" s="117"/>
      <c r="J357" s="117"/>
      <c r="K357" s="117"/>
      <c r="L357" s="117"/>
      <c r="M357" s="117"/>
      <c r="N357" s="117"/>
      <c r="O357" s="117"/>
    </row>
    <row r="358" spans="1:15" ht="15">
      <c r="A358" s="117"/>
      <c r="B358" s="117"/>
      <c r="C358" s="117"/>
      <c r="D358" s="117"/>
      <c r="E358" s="63" t="str">
        <f t="shared" si="10"/>
        <v/>
      </c>
      <c r="F358" s="117"/>
      <c r="G358" s="117"/>
      <c r="H358" s="117"/>
      <c r="I358" s="117"/>
      <c r="J358" s="117"/>
      <c r="K358" s="117"/>
      <c r="L358" s="117"/>
      <c r="M358" s="117"/>
      <c r="N358" s="117"/>
      <c r="O358" s="117"/>
    </row>
    <row r="359" spans="1:15" ht="15">
      <c r="A359" s="117"/>
      <c r="B359" s="117"/>
      <c r="C359" s="117"/>
      <c r="D359" s="117"/>
      <c r="E359" s="63" t="str">
        <f t="shared" si="10"/>
        <v/>
      </c>
      <c r="F359" s="117"/>
      <c r="G359" s="117"/>
      <c r="H359" s="117"/>
      <c r="I359" s="117"/>
      <c r="J359" s="117"/>
      <c r="K359" s="117"/>
      <c r="L359" s="117"/>
      <c r="M359" s="117"/>
      <c r="N359" s="117"/>
      <c r="O359" s="117"/>
    </row>
    <row r="360" spans="1:15" ht="15">
      <c r="A360" s="117"/>
      <c r="B360" s="117"/>
      <c r="C360" s="117"/>
      <c r="D360" s="117"/>
      <c r="E360" s="63" t="str">
        <f t="shared" si="10"/>
        <v/>
      </c>
      <c r="F360" s="117"/>
      <c r="G360" s="117"/>
      <c r="H360" s="117"/>
      <c r="I360" s="117"/>
      <c r="J360" s="117"/>
      <c r="K360" s="117"/>
      <c r="L360" s="117"/>
      <c r="M360" s="117"/>
      <c r="N360" s="117"/>
      <c r="O360" s="117"/>
    </row>
    <row r="361" spans="1:15" ht="15">
      <c r="A361" s="117"/>
      <c r="B361" s="117"/>
      <c r="C361" s="117"/>
      <c r="D361" s="117"/>
      <c r="E361" s="63" t="str">
        <f t="shared" si="10"/>
        <v/>
      </c>
      <c r="F361" s="117"/>
      <c r="G361" s="117"/>
      <c r="H361" s="117"/>
      <c r="I361" s="117"/>
      <c r="J361" s="117"/>
      <c r="K361" s="117"/>
      <c r="L361" s="117"/>
      <c r="M361" s="117"/>
      <c r="N361" s="117"/>
      <c r="O361" s="117"/>
    </row>
    <row r="362" spans="1:15" ht="15">
      <c r="A362" s="117"/>
      <c r="B362" s="117"/>
      <c r="C362" s="117"/>
      <c r="D362" s="117"/>
      <c r="E362" s="63" t="str">
        <f t="shared" si="10"/>
        <v/>
      </c>
      <c r="F362" s="117"/>
      <c r="G362" s="117"/>
      <c r="H362" s="117"/>
      <c r="I362" s="117"/>
      <c r="J362" s="117"/>
      <c r="K362" s="117"/>
      <c r="L362" s="117"/>
      <c r="M362" s="117"/>
      <c r="N362" s="117"/>
      <c r="O362" s="117"/>
    </row>
    <row r="363" spans="1:15" ht="15">
      <c r="A363" s="117"/>
      <c r="B363" s="117"/>
      <c r="C363" s="117"/>
      <c r="D363" s="117"/>
      <c r="E363" s="63" t="str">
        <f t="shared" ref="E363:E374" si="11">IF(OR(C363="",D363=""),"",C363*D363)</f>
        <v/>
      </c>
      <c r="F363" s="117"/>
      <c r="G363" s="117"/>
      <c r="H363" s="117"/>
      <c r="I363" s="117"/>
      <c r="J363" s="117"/>
      <c r="K363" s="117"/>
      <c r="L363" s="117"/>
      <c r="M363" s="117"/>
      <c r="N363" s="117"/>
      <c r="O363" s="117"/>
    </row>
    <row r="364" spans="1:15" ht="15">
      <c r="A364" s="117"/>
      <c r="B364" s="117"/>
      <c r="C364" s="117"/>
      <c r="D364" s="117"/>
      <c r="E364" s="63" t="str">
        <f t="shared" si="11"/>
        <v/>
      </c>
      <c r="F364" s="117"/>
      <c r="G364" s="117"/>
      <c r="H364" s="117"/>
      <c r="I364" s="117"/>
      <c r="J364" s="117"/>
      <c r="K364" s="117"/>
      <c r="L364" s="117"/>
      <c r="M364" s="117"/>
      <c r="N364" s="117"/>
      <c r="O364" s="117"/>
    </row>
    <row r="365" spans="1:15" ht="15">
      <c r="A365" s="117"/>
      <c r="B365" s="117"/>
      <c r="C365" s="117"/>
      <c r="D365" s="117"/>
      <c r="E365" s="63" t="str">
        <f t="shared" si="11"/>
        <v/>
      </c>
      <c r="F365" s="117"/>
      <c r="G365" s="117"/>
      <c r="H365" s="117"/>
      <c r="I365" s="117"/>
      <c r="J365" s="117"/>
      <c r="K365" s="117"/>
      <c r="L365" s="117"/>
      <c r="M365" s="117"/>
      <c r="N365" s="117"/>
      <c r="O365" s="117"/>
    </row>
    <row r="366" spans="1:15" ht="15">
      <c r="A366" s="117"/>
      <c r="B366" s="117"/>
      <c r="C366" s="117"/>
      <c r="D366" s="117"/>
      <c r="E366" s="63" t="str">
        <f t="shared" si="11"/>
        <v/>
      </c>
      <c r="F366" s="117"/>
      <c r="G366" s="117"/>
      <c r="H366" s="117"/>
      <c r="I366" s="117"/>
      <c r="J366" s="117"/>
      <c r="K366" s="117"/>
      <c r="L366" s="117"/>
      <c r="M366" s="117"/>
      <c r="N366" s="117"/>
      <c r="O366" s="117"/>
    </row>
    <row r="367" spans="1:15" ht="15">
      <c r="A367" s="117"/>
      <c r="B367" s="117"/>
      <c r="C367" s="117"/>
      <c r="D367" s="117"/>
      <c r="E367" s="63" t="str">
        <f t="shared" si="11"/>
        <v/>
      </c>
      <c r="F367" s="117"/>
      <c r="G367" s="117"/>
      <c r="H367" s="117"/>
      <c r="I367" s="117"/>
      <c r="J367" s="117"/>
      <c r="K367" s="117"/>
      <c r="L367" s="117"/>
      <c r="M367" s="117"/>
      <c r="N367" s="117"/>
      <c r="O367" s="117"/>
    </row>
    <row r="368" spans="1:15" ht="15">
      <c r="A368" s="117"/>
      <c r="B368" s="117"/>
      <c r="C368" s="117"/>
      <c r="D368" s="117"/>
      <c r="E368" s="63" t="str">
        <f t="shared" si="11"/>
        <v/>
      </c>
      <c r="F368" s="117"/>
      <c r="G368" s="117"/>
      <c r="H368" s="117"/>
      <c r="I368" s="117"/>
      <c r="J368" s="117"/>
      <c r="K368" s="117"/>
      <c r="L368" s="117"/>
      <c r="M368" s="117"/>
      <c r="N368" s="117"/>
      <c r="O368" s="117"/>
    </row>
    <row r="369" spans="1:15" ht="15">
      <c r="A369" s="117"/>
      <c r="B369" s="117"/>
      <c r="C369" s="117"/>
      <c r="D369" s="117"/>
      <c r="E369" s="63" t="str">
        <f t="shared" si="11"/>
        <v/>
      </c>
      <c r="F369" s="117"/>
      <c r="G369" s="117"/>
      <c r="H369" s="117"/>
      <c r="I369" s="117"/>
      <c r="J369" s="117"/>
      <c r="K369" s="117"/>
      <c r="L369" s="117"/>
      <c r="M369" s="117"/>
      <c r="N369" s="117"/>
      <c r="O369" s="117"/>
    </row>
    <row r="370" spans="1:15" ht="15">
      <c r="A370" s="117"/>
      <c r="B370" s="117"/>
      <c r="C370" s="117"/>
      <c r="D370" s="117"/>
      <c r="E370" s="63" t="str">
        <f t="shared" si="11"/>
        <v/>
      </c>
      <c r="F370" s="117"/>
      <c r="G370" s="117"/>
      <c r="H370" s="117"/>
      <c r="I370" s="117"/>
      <c r="J370" s="117"/>
      <c r="K370" s="117"/>
      <c r="L370" s="117"/>
      <c r="M370" s="117"/>
      <c r="N370" s="117"/>
      <c r="O370" s="117"/>
    </row>
    <row r="371" spans="1:15" ht="15">
      <c r="A371" s="117"/>
      <c r="B371" s="117"/>
      <c r="C371" s="117"/>
      <c r="D371" s="117"/>
      <c r="E371" s="63" t="str">
        <f t="shared" si="11"/>
        <v/>
      </c>
      <c r="F371" s="117"/>
      <c r="G371" s="117"/>
      <c r="H371" s="117"/>
      <c r="I371" s="117"/>
      <c r="J371" s="117"/>
      <c r="K371" s="117"/>
      <c r="L371" s="117"/>
      <c r="M371" s="117"/>
      <c r="N371" s="117"/>
      <c r="O371" s="117"/>
    </row>
    <row r="372" spans="1:15" ht="15">
      <c r="A372" s="117"/>
      <c r="B372" s="117"/>
      <c r="C372" s="117"/>
      <c r="D372" s="117"/>
      <c r="E372" s="63" t="str">
        <f t="shared" si="11"/>
        <v/>
      </c>
      <c r="F372" s="117"/>
      <c r="G372" s="117"/>
      <c r="H372" s="117"/>
      <c r="I372" s="117"/>
      <c r="J372" s="117"/>
      <c r="K372" s="117"/>
      <c r="L372" s="117"/>
      <c r="M372" s="117"/>
      <c r="N372" s="117"/>
      <c r="O372" s="117"/>
    </row>
    <row r="373" spans="1:15" ht="15">
      <c r="A373" s="117"/>
      <c r="B373" s="117"/>
      <c r="C373" s="117"/>
      <c r="D373" s="117"/>
      <c r="E373" s="63" t="str">
        <f t="shared" si="11"/>
        <v/>
      </c>
      <c r="F373" s="117"/>
      <c r="G373" s="117"/>
      <c r="H373" s="117"/>
      <c r="I373" s="117"/>
      <c r="J373" s="117"/>
      <c r="K373" s="117"/>
      <c r="L373" s="117"/>
      <c r="M373" s="117"/>
      <c r="N373" s="117"/>
      <c r="O373" s="117"/>
    </row>
    <row r="374" spans="1:15" ht="15">
      <c r="A374" s="117"/>
      <c r="B374" s="117"/>
      <c r="C374" s="117"/>
      <c r="D374" s="117"/>
      <c r="E374" s="63" t="str">
        <f t="shared" si="11"/>
        <v/>
      </c>
      <c r="F374" s="117"/>
      <c r="G374" s="117"/>
      <c r="H374" s="117"/>
      <c r="I374" s="117"/>
      <c r="J374" s="117"/>
      <c r="K374" s="117"/>
      <c r="L374" s="117"/>
      <c r="M374" s="117"/>
      <c r="N374" s="117"/>
      <c r="O374" s="117"/>
    </row>
    <row r="375" spans="1:15" ht="15">
      <c r="A375" s="117"/>
      <c r="B375" s="117"/>
      <c r="C375" s="117"/>
      <c r="D375" s="117"/>
      <c r="E375" s="117"/>
      <c r="F375" s="117"/>
      <c r="G375" s="117"/>
      <c r="H375" s="117"/>
      <c r="I375" s="117"/>
      <c r="J375" s="117"/>
      <c r="K375" s="117"/>
      <c r="L375" s="117"/>
      <c r="M375" s="117"/>
      <c r="N375" s="117"/>
      <c r="O375" s="117"/>
    </row>
    <row r="376" spans="1:15" ht="15">
      <c r="A376" s="117"/>
      <c r="B376" s="117"/>
      <c r="C376" s="117"/>
      <c r="D376" s="117"/>
      <c r="E376" s="117"/>
      <c r="F376" s="117"/>
      <c r="G376" s="117"/>
      <c r="H376" s="117"/>
      <c r="I376" s="117"/>
      <c r="J376" s="117"/>
      <c r="K376" s="117"/>
      <c r="L376" s="117"/>
      <c r="M376" s="117"/>
      <c r="N376" s="117"/>
      <c r="O376" s="117"/>
    </row>
    <row r="377" spans="1:15" ht="15">
      <c r="A377" s="117"/>
      <c r="B377" s="117"/>
      <c r="C377" s="117"/>
      <c r="D377" s="117"/>
      <c r="E377" s="117"/>
      <c r="F377" s="117"/>
      <c r="G377" s="117"/>
      <c r="H377" s="117"/>
      <c r="I377" s="117"/>
      <c r="J377" s="117"/>
      <c r="K377" s="117"/>
      <c r="L377" s="117"/>
      <c r="M377" s="117"/>
      <c r="N377" s="117"/>
      <c r="O377" s="117"/>
    </row>
    <row r="378" spans="1:15" ht="15">
      <c r="A378" s="117"/>
      <c r="B378" s="117"/>
      <c r="C378" s="117"/>
      <c r="D378" s="117"/>
      <c r="E378" s="117"/>
      <c r="F378" s="117"/>
      <c r="G378" s="117"/>
      <c r="H378" s="117"/>
      <c r="I378" s="117"/>
      <c r="J378" s="117"/>
      <c r="K378" s="117"/>
      <c r="L378" s="117"/>
      <c r="M378" s="117"/>
      <c r="N378" s="117"/>
      <c r="O378" s="117"/>
    </row>
    <row r="379" spans="1:15" ht="15">
      <c r="A379" s="117"/>
      <c r="B379" s="117"/>
      <c r="C379" s="117"/>
      <c r="D379" s="117"/>
      <c r="E379" s="117"/>
      <c r="F379" s="117"/>
      <c r="G379" s="117"/>
      <c r="H379" s="117"/>
      <c r="I379" s="117"/>
      <c r="J379" s="117"/>
      <c r="K379" s="117"/>
      <c r="L379" s="117"/>
      <c r="M379" s="117"/>
      <c r="N379" s="117"/>
      <c r="O379" s="117"/>
    </row>
    <row r="380" spans="1:15" ht="15">
      <c r="A380" s="117"/>
      <c r="B380" s="117"/>
      <c r="C380" s="117"/>
      <c r="D380" s="117"/>
      <c r="E380" s="117"/>
      <c r="F380" s="117"/>
      <c r="G380" s="117"/>
      <c r="H380" s="117"/>
      <c r="I380" s="117"/>
      <c r="J380" s="117"/>
      <c r="K380" s="117"/>
      <c r="L380" s="117"/>
      <c r="M380" s="117"/>
      <c r="N380" s="117"/>
      <c r="O380" s="117"/>
    </row>
  </sheetData>
  <autoFilter ref="A6:O73" xr:uid="{00000000-0009-0000-0000-00000A000000}"/>
  <dataValidations count="7">
    <dataValidation type="list" allowBlank="1" errorTitle="Fora da lista" error="Escolha um item da lista. Para incluir outro, use a aba PARAMETROS." promptTitle="Operação" prompt="Clique na seta e escolha." sqref="B7:B276" xr:uid="{00000000-0002-0000-0A00-000000000000}">
      <formula1>ListaOperacoes</formula1>
    </dataValidation>
    <dataValidation type="list" allowBlank="1" errorTitle="Fora da lista" error="Escolha um item da lista. Para incluir outro, use a aba PARAMETROS." promptTitle="Mandato" prompt="Clique na seta e escolha." sqref="F7:F276" xr:uid="{00000000-0002-0000-0A00-000001000000}">
      <formula1>ListaMandato</formula1>
    </dataValidation>
    <dataValidation type="list" allowBlank="1" errorTitle="Fora da lista" error="Escolha um item da lista. Para incluir outro, use a aba PARAMETROS." promptTitle="Instituição" prompt="Clique na seta e escolha." sqref="H7:H276" xr:uid="{00000000-0002-0000-0A00-000002000000}">
      <formula1>ListaParceiros</formula1>
    </dataValidation>
    <dataValidation type="list" allowBlank="1" errorTitle="Fora da lista" error="Escolha um item da lista. Para incluir outro, use a aba PARAMETROS." promptTitle="Parceiro Indicador" prompt="Clique na seta e escolha." sqref="I7:I276" xr:uid="{00000000-0002-0000-0A00-000003000000}">
      <formula1>ListaIndicadores</formula1>
    </dataValidation>
    <dataValidation type="list" allowBlank="1" errorTitle="Fora da lista" error="Escolha um item da lista. Para incluir outro, use a aba PARAMETROS." promptTitle="Fluxo" prompt="Clique na seta e escolha." sqref="K7:K276" xr:uid="{00000000-0002-0000-0A00-000004000000}">
      <formula1>ListaFluxo</formula1>
    </dataValidation>
    <dataValidation type="list" allowBlank="1" errorTitle="Fora da lista" error="Escolha um item da lista. Para incluir outro, use a aba PARAMETROS." promptTitle="Status" prompt="Clique na seta e escolha." sqref="L7:L276" xr:uid="{00000000-0002-0000-0A00-000005000000}">
      <formula1>ListaStatus</formula1>
    </dataValidation>
    <dataValidation type="list" allowBlank="1" errorTitle="Fora da lista" error="Escolha um item da lista. Para incluir outro, use a aba PARAMETROS." promptTitle="Motivo De Recusa" prompt="Clique na seta e escolha." sqref="N7:N276" xr:uid="{00000000-0002-0000-0A00-000006000000}">
      <formula1>ListaMotivos</formula1>
    </dataValidation>
  </dataValidation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389"/>
  <sheetViews>
    <sheetView showGridLines="0" workbookViewId="0">
      <pane ySplit="6" topLeftCell="A7" activePane="bottomLeft" state="frozen"/>
      <selection pane="bottomLeft" activeCell="A42" sqref="A42"/>
    </sheetView>
  </sheetViews>
  <sheetFormatPr defaultRowHeight="14.45"/>
  <cols>
    <col min="1" max="1" width="30" customWidth="1"/>
    <col min="2" max="2" width="26" customWidth="1"/>
    <col min="3" max="3" width="16" customWidth="1"/>
    <col min="4" max="4" width="9" customWidth="1"/>
    <col min="5" max="6" width="15" customWidth="1"/>
    <col min="7" max="7" width="7" customWidth="1"/>
    <col min="8" max="8" width="27" customWidth="1"/>
    <col min="9" max="9" width="19" customWidth="1"/>
    <col min="10" max="10" width="13" customWidth="1"/>
    <col min="11" max="11" width="29.85546875" customWidth="1"/>
    <col min="12" max="12" width="21" customWidth="1"/>
    <col min="13" max="13" width="21.42578125" customWidth="1"/>
    <col min="14" max="14" width="32" customWidth="1"/>
    <col min="15" max="15" width="42" customWidth="1"/>
  </cols>
  <sheetData>
    <row r="1" spans="1:15">
      <c r="A1" s="64"/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</row>
    <row r="2" spans="1:15">
      <c r="A2" s="64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</row>
    <row r="3" spans="1:15" ht="24" customHeight="1">
      <c r="A3" s="65"/>
      <c r="B3" s="68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</row>
    <row r="4" spans="1:15" ht="14.1" customHeight="1">
      <c r="A4" s="66"/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</row>
    <row r="5" spans="1:15">
      <c r="A5" s="64"/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</row>
    <row r="6" spans="1:15" ht="27.95" customHeight="1">
      <c r="A6" s="67" t="s">
        <v>0</v>
      </c>
      <c r="B6" s="67" t="s">
        <v>1</v>
      </c>
      <c r="C6" s="67" t="s">
        <v>2</v>
      </c>
      <c r="D6" s="67" t="s">
        <v>3</v>
      </c>
      <c r="E6" s="67" t="s">
        <v>4</v>
      </c>
      <c r="F6" s="67" t="s">
        <v>5</v>
      </c>
      <c r="G6" s="67" t="s">
        <v>6</v>
      </c>
      <c r="H6" s="67" t="s">
        <v>7</v>
      </c>
      <c r="I6" s="67" t="s">
        <v>8</v>
      </c>
      <c r="J6" s="67" t="s">
        <v>9</v>
      </c>
      <c r="K6" s="67" t="s">
        <v>10</v>
      </c>
      <c r="L6" s="67" t="s">
        <v>11</v>
      </c>
      <c r="M6" s="67" t="s">
        <v>12</v>
      </c>
      <c r="N6" s="67" t="s">
        <v>13</v>
      </c>
      <c r="O6" s="67" t="s">
        <v>14</v>
      </c>
    </row>
    <row r="7" spans="1:15">
      <c r="A7" s="83" t="s">
        <v>122</v>
      </c>
      <c r="B7" s="83" t="s">
        <v>16</v>
      </c>
      <c r="C7" s="84">
        <v>800000</v>
      </c>
      <c r="D7" s="85">
        <v>0.02</v>
      </c>
      <c r="E7" s="79">
        <f t="shared" ref="E7:E50" si="0">D7*C7</f>
        <v>16000</v>
      </c>
      <c r="F7" s="83" t="s">
        <v>66</v>
      </c>
      <c r="G7" s="86">
        <v>1</v>
      </c>
      <c r="H7" s="83" t="s">
        <v>44</v>
      </c>
      <c r="I7" s="83" t="s">
        <v>19</v>
      </c>
      <c r="J7" s="87">
        <v>46288</v>
      </c>
      <c r="K7" s="83" t="s">
        <v>66</v>
      </c>
      <c r="L7" s="83" t="s">
        <v>36</v>
      </c>
      <c r="M7" s="87"/>
      <c r="N7" s="83"/>
      <c r="O7" s="8" t="s">
        <v>123</v>
      </c>
    </row>
    <row r="8" spans="1:15">
      <c r="A8" s="78" t="s">
        <v>124</v>
      </c>
      <c r="B8" s="78" t="s">
        <v>16</v>
      </c>
      <c r="C8" s="79">
        <v>1000000</v>
      </c>
      <c r="D8" s="80">
        <v>1.4999999999999999E-2</v>
      </c>
      <c r="E8" s="79">
        <f t="shared" si="0"/>
        <v>15000</v>
      </c>
      <c r="F8" s="78" t="s">
        <v>48</v>
      </c>
      <c r="G8" s="81">
        <v>1</v>
      </c>
      <c r="H8" s="78" t="s">
        <v>107</v>
      </c>
      <c r="I8" s="78" t="s">
        <v>19</v>
      </c>
      <c r="J8" s="82">
        <v>46288</v>
      </c>
      <c r="K8" s="78" t="s">
        <v>66</v>
      </c>
      <c r="L8" s="78" t="s">
        <v>36</v>
      </c>
      <c r="M8" s="49"/>
      <c r="N8" s="45"/>
      <c r="O8" s="45" t="s">
        <v>123</v>
      </c>
    </row>
    <row r="9" spans="1:15">
      <c r="A9" s="83" t="s">
        <v>124</v>
      </c>
      <c r="B9" s="83" t="s">
        <v>16</v>
      </c>
      <c r="C9" s="84">
        <v>1500000</v>
      </c>
      <c r="D9" s="85">
        <v>1.4999999999999999E-2</v>
      </c>
      <c r="E9" s="79">
        <f t="shared" si="0"/>
        <v>22500</v>
      </c>
      <c r="F9" s="83" t="s">
        <v>48</v>
      </c>
      <c r="G9" s="86">
        <v>1</v>
      </c>
      <c r="H9" s="83" t="s">
        <v>125</v>
      </c>
      <c r="I9" s="83" t="s">
        <v>19</v>
      </c>
      <c r="J9" s="87">
        <v>46288</v>
      </c>
      <c r="K9" s="83" t="s">
        <v>66</v>
      </c>
      <c r="L9" s="83" t="s">
        <v>36</v>
      </c>
      <c r="M9" s="54"/>
      <c r="N9" s="50"/>
      <c r="O9" s="50" t="s">
        <v>126</v>
      </c>
    </row>
    <row r="10" spans="1:15">
      <c r="A10" s="78" t="s">
        <v>127</v>
      </c>
      <c r="B10" s="78" t="s">
        <v>16</v>
      </c>
      <c r="C10" s="79">
        <v>500000</v>
      </c>
      <c r="D10" s="80">
        <v>0.02</v>
      </c>
      <c r="E10" s="79">
        <f t="shared" si="0"/>
        <v>10000</v>
      </c>
      <c r="F10" s="78" t="s">
        <v>26</v>
      </c>
      <c r="G10" s="81">
        <v>1</v>
      </c>
      <c r="H10" s="78" t="s">
        <v>53</v>
      </c>
      <c r="I10" s="78" t="s">
        <v>19</v>
      </c>
      <c r="J10" s="82">
        <v>46288</v>
      </c>
      <c r="K10" s="78" t="s">
        <v>66</v>
      </c>
      <c r="L10" s="78" t="s">
        <v>36</v>
      </c>
      <c r="M10" s="49"/>
      <c r="N10" s="45"/>
      <c r="O10" s="45" t="s">
        <v>128</v>
      </c>
    </row>
    <row r="11" spans="1:15" ht="15">
      <c r="A11" s="8" t="s">
        <v>129</v>
      </c>
      <c r="B11" s="8" t="s">
        <v>16</v>
      </c>
      <c r="C11" s="122">
        <v>400000</v>
      </c>
      <c r="D11" s="123">
        <v>0.02</v>
      </c>
      <c r="E11" s="118">
        <f t="shared" si="0"/>
        <v>8000</v>
      </c>
      <c r="F11" s="8" t="s">
        <v>26</v>
      </c>
      <c r="G11" s="124">
        <v>1</v>
      </c>
      <c r="H11" s="8" t="s">
        <v>44</v>
      </c>
      <c r="I11" s="126" t="s">
        <v>19</v>
      </c>
      <c r="J11" s="127">
        <v>46288</v>
      </c>
      <c r="K11" s="8" t="s">
        <v>66</v>
      </c>
      <c r="L11" s="6" t="s">
        <v>21</v>
      </c>
      <c r="M11" s="93"/>
      <c r="N11" s="93"/>
      <c r="O11" s="93" t="s">
        <v>130</v>
      </c>
    </row>
    <row r="12" spans="1:15" ht="15">
      <c r="A12" s="6" t="s">
        <v>131</v>
      </c>
      <c r="B12" s="6" t="s">
        <v>114</v>
      </c>
      <c r="C12" s="118">
        <v>6000</v>
      </c>
      <c r="D12" s="119"/>
      <c r="E12" s="118">
        <f t="shared" si="0"/>
        <v>0</v>
      </c>
      <c r="F12" s="6" t="s">
        <v>66</v>
      </c>
      <c r="G12" s="120">
        <v>1</v>
      </c>
      <c r="H12" s="6" t="s">
        <v>115</v>
      </c>
      <c r="I12" s="6" t="s">
        <v>19</v>
      </c>
      <c r="J12" s="121">
        <v>46288</v>
      </c>
      <c r="K12" s="6" t="s">
        <v>66</v>
      </c>
      <c r="L12" s="6" t="s">
        <v>32</v>
      </c>
      <c r="M12" s="92"/>
      <c r="N12" s="88"/>
      <c r="O12" s="88" t="s">
        <v>132</v>
      </c>
    </row>
    <row r="13" spans="1:15">
      <c r="A13" s="45" t="s">
        <v>133</v>
      </c>
      <c r="B13" s="45" t="s">
        <v>16</v>
      </c>
      <c r="C13" s="46">
        <v>300000</v>
      </c>
      <c r="D13" s="47">
        <v>0.01</v>
      </c>
      <c r="E13" s="46">
        <f t="shared" si="0"/>
        <v>3000</v>
      </c>
      <c r="F13" s="45" t="s">
        <v>66</v>
      </c>
      <c r="G13" s="48">
        <v>1</v>
      </c>
      <c r="H13" s="45" t="s">
        <v>99</v>
      </c>
      <c r="I13" s="45" t="s">
        <v>19</v>
      </c>
      <c r="J13" s="49">
        <v>46288</v>
      </c>
      <c r="K13" s="45" t="s">
        <v>134</v>
      </c>
      <c r="L13" s="45" t="s">
        <v>32</v>
      </c>
      <c r="M13" s="49"/>
      <c r="N13" s="45"/>
      <c r="O13" s="45" t="s">
        <v>135</v>
      </c>
    </row>
    <row r="14" spans="1:15">
      <c r="A14" s="50" t="s">
        <v>136</v>
      </c>
      <c r="B14" s="50" t="s">
        <v>16</v>
      </c>
      <c r="C14" s="51">
        <v>300000</v>
      </c>
      <c r="D14" s="52">
        <v>0.02</v>
      </c>
      <c r="E14" s="46">
        <f t="shared" si="0"/>
        <v>6000</v>
      </c>
      <c r="F14" s="50" t="s">
        <v>26</v>
      </c>
      <c r="G14" s="53">
        <v>1</v>
      </c>
      <c r="H14" s="50" t="s">
        <v>115</v>
      </c>
      <c r="I14" s="50" t="s">
        <v>19</v>
      </c>
      <c r="J14" s="54">
        <v>46257</v>
      </c>
      <c r="K14" s="50" t="s">
        <v>137</v>
      </c>
      <c r="L14" s="50" t="s">
        <v>32</v>
      </c>
      <c r="M14" s="54"/>
      <c r="N14" s="50"/>
      <c r="O14" s="50" t="s">
        <v>138</v>
      </c>
    </row>
    <row r="15" spans="1:15">
      <c r="A15" s="45" t="s">
        <v>139</v>
      </c>
      <c r="B15" s="45" t="s">
        <v>16</v>
      </c>
      <c r="C15" s="46">
        <v>500000</v>
      </c>
      <c r="D15" s="47">
        <v>0.02</v>
      </c>
      <c r="E15" s="46">
        <f t="shared" si="0"/>
        <v>10000</v>
      </c>
      <c r="F15" s="45" t="s">
        <v>26</v>
      </c>
      <c r="G15" s="48">
        <v>1</v>
      </c>
      <c r="H15" s="45" t="s">
        <v>115</v>
      </c>
      <c r="I15" s="45" t="s">
        <v>19</v>
      </c>
      <c r="J15" s="49">
        <v>46288</v>
      </c>
      <c r="K15" s="45" t="s">
        <v>137</v>
      </c>
      <c r="L15" s="45" t="s">
        <v>32</v>
      </c>
      <c r="M15" s="49"/>
      <c r="N15" s="45"/>
      <c r="O15" s="45" t="s">
        <v>140</v>
      </c>
    </row>
    <row r="16" spans="1:15" ht="15">
      <c r="A16" s="8" t="s">
        <v>141</v>
      </c>
      <c r="B16" s="8" t="s">
        <v>16</v>
      </c>
      <c r="C16" s="122">
        <v>300000</v>
      </c>
      <c r="D16" s="123">
        <v>0.02</v>
      </c>
      <c r="E16" s="118">
        <f t="shared" si="0"/>
        <v>6000</v>
      </c>
      <c r="F16" s="8" t="s">
        <v>48</v>
      </c>
      <c r="G16" s="124">
        <v>1</v>
      </c>
      <c r="H16" s="8" t="s">
        <v>39</v>
      </c>
      <c r="I16" s="8" t="s">
        <v>19</v>
      </c>
      <c r="J16" s="125">
        <v>46288</v>
      </c>
      <c r="K16" s="8" t="s">
        <v>137</v>
      </c>
      <c r="L16" s="8" t="s">
        <v>32</v>
      </c>
      <c r="M16" s="97"/>
      <c r="N16" s="93"/>
      <c r="O16" s="93" t="s">
        <v>142</v>
      </c>
    </row>
    <row r="17" spans="1:15" ht="15">
      <c r="A17" s="6" t="s">
        <v>143</v>
      </c>
      <c r="B17" s="6" t="s">
        <v>16</v>
      </c>
      <c r="C17" s="118">
        <v>3000000</v>
      </c>
      <c r="D17" s="119">
        <v>0.02</v>
      </c>
      <c r="E17" s="118">
        <f t="shared" si="0"/>
        <v>60000</v>
      </c>
      <c r="F17" s="6" t="s">
        <v>48</v>
      </c>
      <c r="G17" s="120">
        <v>1</v>
      </c>
      <c r="H17" s="6" t="s">
        <v>125</v>
      </c>
      <c r="I17" s="6" t="s">
        <v>19</v>
      </c>
      <c r="J17" s="121">
        <v>46288</v>
      </c>
      <c r="K17" s="6" t="s">
        <v>137</v>
      </c>
      <c r="L17" s="6" t="s">
        <v>21</v>
      </c>
      <c r="M17" s="49"/>
      <c r="N17" s="45"/>
      <c r="O17" s="45" t="s">
        <v>144</v>
      </c>
    </row>
    <row r="18" spans="1:15">
      <c r="A18" s="50" t="s">
        <v>145</v>
      </c>
      <c r="B18" s="50" t="s">
        <v>146</v>
      </c>
      <c r="C18" s="51">
        <v>6000000</v>
      </c>
      <c r="D18" s="52">
        <v>0.1</v>
      </c>
      <c r="E18" s="46">
        <f t="shared" si="0"/>
        <v>600000</v>
      </c>
      <c r="F18" s="50" t="s">
        <v>66</v>
      </c>
      <c r="G18" s="53">
        <v>1</v>
      </c>
      <c r="H18" s="50" t="s">
        <v>115</v>
      </c>
      <c r="I18" s="50" t="s">
        <v>19</v>
      </c>
      <c r="J18" s="54">
        <v>46288</v>
      </c>
      <c r="K18" s="50" t="s">
        <v>20</v>
      </c>
      <c r="L18" s="50" t="s">
        <v>147</v>
      </c>
      <c r="M18" s="54"/>
      <c r="N18" s="50"/>
      <c r="O18" s="50" t="s">
        <v>148</v>
      </c>
    </row>
    <row r="19" spans="1:15" ht="15">
      <c r="A19" s="6" t="s">
        <v>149</v>
      </c>
      <c r="B19" s="6" t="s">
        <v>29</v>
      </c>
      <c r="C19" s="118">
        <v>781000</v>
      </c>
      <c r="D19" s="119">
        <v>0.02</v>
      </c>
      <c r="E19" s="118">
        <f t="shared" si="0"/>
        <v>15620</v>
      </c>
      <c r="F19" s="6" t="s">
        <v>66</v>
      </c>
      <c r="G19" s="120">
        <v>1</v>
      </c>
      <c r="H19" s="6" t="s">
        <v>18</v>
      </c>
      <c r="I19" s="6" t="s">
        <v>19</v>
      </c>
      <c r="J19" s="121">
        <v>46288</v>
      </c>
      <c r="K19" s="6" t="s">
        <v>66</v>
      </c>
      <c r="L19" s="6" t="s">
        <v>21</v>
      </c>
      <c r="M19" s="102"/>
      <c r="N19" s="45"/>
      <c r="O19" s="45" t="s">
        <v>150</v>
      </c>
    </row>
    <row r="20" spans="1:15">
      <c r="A20" s="50" t="s">
        <v>151</v>
      </c>
      <c r="B20" s="50" t="s">
        <v>16</v>
      </c>
      <c r="C20" s="51">
        <v>1000000</v>
      </c>
      <c r="D20" s="52">
        <v>0.02</v>
      </c>
      <c r="E20" s="46">
        <f t="shared" si="0"/>
        <v>20000</v>
      </c>
      <c r="F20" s="50" t="s">
        <v>26</v>
      </c>
      <c r="G20" s="53">
        <v>1</v>
      </c>
      <c r="H20" s="50" t="s">
        <v>39</v>
      </c>
      <c r="I20" s="50" t="s">
        <v>19</v>
      </c>
      <c r="J20" s="54">
        <v>46288</v>
      </c>
      <c r="K20" s="50" t="s">
        <v>26</v>
      </c>
      <c r="L20" s="50" t="s">
        <v>32</v>
      </c>
      <c r="M20" s="54"/>
      <c r="N20" s="50"/>
      <c r="O20" s="50" t="s">
        <v>152</v>
      </c>
    </row>
    <row r="21" spans="1:15">
      <c r="A21" s="45" t="s">
        <v>153</v>
      </c>
      <c r="B21" s="45" t="s">
        <v>16</v>
      </c>
      <c r="C21" s="46">
        <v>500000</v>
      </c>
      <c r="D21" s="47">
        <v>0.02</v>
      </c>
      <c r="E21" s="46">
        <f t="shared" si="0"/>
        <v>10000</v>
      </c>
      <c r="F21" s="45" t="s">
        <v>26</v>
      </c>
      <c r="G21" s="48">
        <v>1</v>
      </c>
      <c r="H21" s="45" t="s">
        <v>39</v>
      </c>
      <c r="I21" s="45" t="s">
        <v>19</v>
      </c>
      <c r="J21" s="49">
        <v>46288</v>
      </c>
      <c r="K21" s="45" t="s">
        <v>26</v>
      </c>
      <c r="L21" s="45" t="s">
        <v>32</v>
      </c>
      <c r="M21" s="49"/>
      <c r="N21" s="45"/>
      <c r="O21" s="45" t="s">
        <v>138</v>
      </c>
    </row>
    <row r="22" spans="1:15">
      <c r="A22" s="50" t="s">
        <v>143</v>
      </c>
      <c r="B22" s="50" t="s">
        <v>16</v>
      </c>
      <c r="C22" s="51">
        <v>2000000</v>
      </c>
      <c r="D22" s="52">
        <v>0.02</v>
      </c>
      <c r="E22" s="46">
        <f t="shared" si="0"/>
        <v>40000</v>
      </c>
      <c r="F22" s="50" t="s">
        <v>48</v>
      </c>
      <c r="G22" s="53">
        <v>1</v>
      </c>
      <c r="H22" s="50" t="s">
        <v>33</v>
      </c>
      <c r="I22" s="50" t="s">
        <v>19</v>
      </c>
      <c r="J22" s="54">
        <v>46288</v>
      </c>
      <c r="K22" s="50" t="s">
        <v>134</v>
      </c>
      <c r="L22" s="50" t="s">
        <v>21</v>
      </c>
      <c r="M22" s="54"/>
      <c r="N22" s="50"/>
      <c r="O22" s="50"/>
    </row>
    <row r="23" spans="1:15">
      <c r="A23" s="45" t="s">
        <v>143</v>
      </c>
      <c r="B23" s="45" t="s">
        <v>16</v>
      </c>
      <c r="C23" s="46">
        <v>2000000</v>
      </c>
      <c r="D23" s="47">
        <v>0.02</v>
      </c>
      <c r="E23" s="46">
        <f t="shared" si="0"/>
        <v>40000</v>
      </c>
      <c r="F23" s="45" t="s">
        <v>26</v>
      </c>
      <c r="G23" s="48">
        <v>1</v>
      </c>
      <c r="H23" s="45" t="s">
        <v>154</v>
      </c>
      <c r="I23" s="45" t="s">
        <v>19</v>
      </c>
      <c r="J23" s="49">
        <v>46288</v>
      </c>
      <c r="K23" s="45" t="s">
        <v>134</v>
      </c>
      <c r="L23" s="45" t="s">
        <v>21</v>
      </c>
      <c r="M23" s="49"/>
      <c r="N23" s="45"/>
      <c r="O23" s="45"/>
    </row>
    <row r="24" spans="1:15">
      <c r="A24" s="50" t="s">
        <v>155</v>
      </c>
      <c r="B24" s="50" t="s">
        <v>16</v>
      </c>
      <c r="C24" s="51">
        <v>1000000</v>
      </c>
      <c r="D24" s="52">
        <v>0.02</v>
      </c>
      <c r="E24" s="46">
        <f t="shared" si="0"/>
        <v>20000</v>
      </c>
      <c r="F24" s="50" t="s">
        <v>66</v>
      </c>
      <c r="G24" s="53">
        <v>1</v>
      </c>
      <c r="H24" s="50" t="s">
        <v>30</v>
      </c>
      <c r="I24" s="50" t="s">
        <v>19</v>
      </c>
      <c r="J24" s="54">
        <v>46288</v>
      </c>
      <c r="K24" s="50" t="s">
        <v>134</v>
      </c>
      <c r="L24" s="50" t="s">
        <v>21</v>
      </c>
      <c r="M24" s="54"/>
      <c r="N24" s="50"/>
      <c r="O24" s="50" t="s">
        <v>156</v>
      </c>
    </row>
    <row r="25" spans="1:15" s="117" customFormat="1">
      <c r="A25" s="50" t="s">
        <v>155</v>
      </c>
      <c r="B25" s="50" t="s">
        <v>16</v>
      </c>
      <c r="C25" s="51">
        <v>1000000</v>
      </c>
      <c r="D25" s="52">
        <v>0.02</v>
      </c>
      <c r="E25" s="46">
        <f t="shared" ref="E25" si="1">D25*C25</f>
        <v>20000</v>
      </c>
      <c r="F25" s="50" t="s">
        <v>66</v>
      </c>
      <c r="G25" s="53">
        <v>1</v>
      </c>
      <c r="H25" s="50" t="s">
        <v>33</v>
      </c>
      <c r="I25" s="50" t="s">
        <v>19</v>
      </c>
      <c r="J25" s="54">
        <v>46288</v>
      </c>
      <c r="K25" s="50" t="s">
        <v>134</v>
      </c>
      <c r="L25" s="50" t="s">
        <v>32</v>
      </c>
      <c r="M25" s="54"/>
      <c r="N25" s="50"/>
      <c r="O25" s="50"/>
    </row>
    <row r="26" spans="1:15">
      <c r="A26" s="45" t="s">
        <v>50</v>
      </c>
      <c r="B26" s="45" t="s">
        <v>16</v>
      </c>
      <c r="C26" s="46">
        <v>1000000</v>
      </c>
      <c r="D26" s="47">
        <v>0.02</v>
      </c>
      <c r="E26" s="46">
        <f t="shared" si="0"/>
        <v>20000</v>
      </c>
      <c r="F26" s="45" t="s">
        <v>66</v>
      </c>
      <c r="G26" s="48">
        <v>1</v>
      </c>
      <c r="H26" s="45" t="s">
        <v>30</v>
      </c>
      <c r="I26" s="45" t="s">
        <v>19</v>
      </c>
      <c r="J26" s="49">
        <v>46288</v>
      </c>
      <c r="K26" s="45" t="s">
        <v>26</v>
      </c>
      <c r="L26" s="45" t="s">
        <v>71</v>
      </c>
      <c r="M26" s="49"/>
      <c r="N26" s="45"/>
      <c r="O26" s="45"/>
    </row>
    <row r="27" spans="1:15">
      <c r="A27" s="50" t="s">
        <v>50</v>
      </c>
      <c r="B27" s="50" t="s">
        <v>16</v>
      </c>
      <c r="C27" s="51">
        <v>1000000</v>
      </c>
      <c r="D27" s="52">
        <v>0.02</v>
      </c>
      <c r="E27" s="46">
        <f t="shared" si="0"/>
        <v>20000</v>
      </c>
      <c r="F27" s="50" t="s">
        <v>66</v>
      </c>
      <c r="G27" s="53">
        <v>1</v>
      </c>
      <c r="H27" s="50" t="s">
        <v>99</v>
      </c>
      <c r="I27" s="50" t="s">
        <v>19</v>
      </c>
      <c r="J27" s="54">
        <v>46288</v>
      </c>
      <c r="K27" s="50" t="s">
        <v>26</v>
      </c>
      <c r="L27" s="50" t="s">
        <v>32</v>
      </c>
      <c r="M27" s="54"/>
      <c r="N27" s="50"/>
      <c r="O27" s="50" t="s">
        <v>157</v>
      </c>
    </row>
    <row r="28" spans="1:15">
      <c r="A28" s="45" t="s">
        <v>49</v>
      </c>
      <c r="B28" s="45" t="s">
        <v>16</v>
      </c>
      <c r="C28" s="46">
        <v>1000000</v>
      </c>
      <c r="D28" s="47">
        <v>0.02</v>
      </c>
      <c r="E28" s="46">
        <f t="shared" si="0"/>
        <v>20000</v>
      </c>
      <c r="F28" s="45" t="s">
        <v>26</v>
      </c>
      <c r="G28" s="48">
        <v>1</v>
      </c>
      <c r="H28" s="45" t="s">
        <v>99</v>
      </c>
      <c r="I28" s="45" t="s">
        <v>19</v>
      </c>
      <c r="J28" s="49">
        <v>46288</v>
      </c>
      <c r="K28" s="45" t="s">
        <v>26</v>
      </c>
      <c r="L28" s="45" t="s">
        <v>32</v>
      </c>
      <c r="M28" s="49"/>
      <c r="N28" s="45"/>
      <c r="O28" s="45"/>
    </row>
    <row r="29" spans="1:15">
      <c r="A29" s="50" t="s">
        <v>49</v>
      </c>
      <c r="B29" s="50" t="s">
        <v>16</v>
      </c>
      <c r="C29" s="51">
        <v>1000000</v>
      </c>
      <c r="D29" s="52">
        <v>0.02</v>
      </c>
      <c r="E29" s="46">
        <f t="shared" si="0"/>
        <v>20000</v>
      </c>
      <c r="F29" s="50" t="s">
        <v>26</v>
      </c>
      <c r="G29" s="53">
        <v>1</v>
      </c>
      <c r="H29" s="50" t="s">
        <v>30</v>
      </c>
      <c r="I29" s="50" t="s">
        <v>19</v>
      </c>
      <c r="J29" s="54">
        <v>46288</v>
      </c>
      <c r="K29" s="50" t="s">
        <v>26</v>
      </c>
      <c r="L29" s="50" t="s">
        <v>32</v>
      </c>
      <c r="M29" s="54"/>
      <c r="N29" s="50"/>
      <c r="O29" s="50"/>
    </row>
    <row r="30" spans="1:15">
      <c r="A30" s="45" t="s">
        <v>158</v>
      </c>
      <c r="B30" s="45" t="s">
        <v>16</v>
      </c>
      <c r="C30" s="46">
        <v>3000000</v>
      </c>
      <c r="D30" s="47">
        <v>0.02</v>
      </c>
      <c r="E30" s="46">
        <f t="shared" si="0"/>
        <v>60000</v>
      </c>
      <c r="F30" s="45" t="s">
        <v>26</v>
      </c>
      <c r="G30" s="48">
        <v>1</v>
      </c>
      <c r="H30" s="45" t="s">
        <v>125</v>
      </c>
      <c r="I30" s="45" t="s">
        <v>19</v>
      </c>
      <c r="J30" s="49">
        <v>46288</v>
      </c>
      <c r="K30" s="45" t="s">
        <v>26</v>
      </c>
      <c r="L30" s="45" t="s">
        <v>32</v>
      </c>
      <c r="M30" s="49"/>
      <c r="N30" s="45"/>
      <c r="O30" s="45" t="s">
        <v>159</v>
      </c>
    </row>
    <row r="31" spans="1:15">
      <c r="A31" s="50" t="s">
        <v>160</v>
      </c>
      <c r="B31" s="50" t="s">
        <v>16</v>
      </c>
      <c r="C31" s="51">
        <v>1000000</v>
      </c>
      <c r="D31" s="52">
        <v>0.02</v>
      </c>
      <c r="E31" s="46">
        <f t="shared" si="0"/>
        <v>20000</v>
      </c>
      <c r="F31" s="50" t="s">
        <v>26</v>
      </c>
      <c r="G31" s="53">
        <v>1</v>
      </c>
      <c r="H31" s="50" t="s">
        <v>39</v>
      </c>
      <c r="I31" s="50" t="s">
        <v>19</v>
      </c>
      <c r="J31" s="54">
        <v>46288</v>
      </c>
      <c r="K31" s="50" t="s">
        <v>26</v>
      </c>
      <c r="L31" s="50" t="s">
        <v>32</v>
      </c>
      <c r="M31" s="54"/>
      <c r="N31" s="50"/>
      <c r="O31" s="50" t="s">
        <v>138</v>
      </c>
    </row>
    <row r="32" spans="1:15">
      <c r="A32" s="45" t="s">
        <v>161</v>
      </c>
      <c r="B32" s="45" t="s">
        <v>16</v>
      </c>
      <c r="C32" s="46">
        <v>500000</v>
      </c>
      <c r="D32" s="47">
        <v>0.02</v>
      </c>
      <c r="E32" s="46">
        <f t="shared" si="0"/>
        <v>10000</v>
      </c>
      <c r="F32" s="45" t="s">
        <v>26</v>
      </c>
      <c r="G32" s="48">
        <v>1</v>
      </c>
      <c r="H32" s="45" t="s">
        <v>39</v>
      </c>
      <c r="I32" s="45" t="s">
        <v>19</v>
      </c>
      <c r="J32" s="49">
        <v>46288</v>
      </c>
      <c r="K32" s="45" t="s">
        <v>26</v>
      </c>
      <c r="L32" s="45" t="s">
        <v>32</v>
      </c>
      <c r="M32" s="49"/>
      <c r="N32" s="45"/>
      <c r="O32" s="45" t="s">
        <v>162</v>
      </c>
    </row>
    <row r="33" spans="1:15">
      <c r="A33" s="50" t="s">
        <v>163</v>
      </c>
      <c r="B33" s="50" t="s">
        <v>16</v>
      </c>
      <c r="C33" s="51">
        <v>1000000</v>
      </c>
      <c r="D33" s="52">
        <v>0.02</v>
      </c>
      <c r="E33" s="46">
        <f t="shared" si="0"/>
        <v>20000</v>
      </c>
      <c r="F33" s="50" t="s">
        <v>26</v>
      </c>
      <c r="G33" s="53">
        <v>1</v>
      </c>
      <c r="H33" s="50" t="s">
        <v>39</v>
      </c>
      <c r="I33" s="50" t="s">
        <v>19</v>
      </c>
      <c r="J33" s="54">
        <v>46288</v>
      </c>
      <c r="K33" s="50" t="s">
        <v>26</v>
      </c>
      <c r="L33" s="50" t="s">
        <v>32</v>
      </c>
      <c r="M33" s="54"/>
      <c r="N33" s="50"/>
      <c r="O33" s="50" t="s">
        <v>164</v>
      </c>
    </row>
    <row r="34" spans="1:15">
      <c r="A34" s="45" t="s">
        <v>122</v>
      </c>
      <c r="B34" s="45" t="s">
        <v>29</v>
      </c>
      <c r="C34" s="46">
        <v>350000</v>
      </c>
      <c r="D34" s="47">
        <v>0.02</v>
      </c>
      <c r="E34" s="46">
        <f t="shared" si="0"/>
        <v>7000</v>
      </c>
      <c r="F34" s="45" t="s">
        <v>66</v>
      </c>
      <c r="G34" s="48">
        <v>1</v>
      </c>
      <c r="H34" s="45" t="s">
        <v>165</v>
      </c>
      <c r="I34" s="45" t="s">
        <v>19</v>
      </c>
      <c r="J34" s="49">
        <v>46288</v>
      </c>
      <c r="K34" s="45" t="s">
        <v>66</v>
      </c>
      <c r="L34" s="45" t="s">
        <v>32</v>
      </c>
      <c r="M34" s="49"/>
      <c r="N34" s="45"/>
      <c r="O34" s="45" t="s">
        <v>130</v>
      </c>
    </row>
    <row r="35" spans="1:15">
      <c r="A35" s="50" t="s">
        <v>166</v>
      </c>
      <c r="B35" s="50" t="s">
        <v>29</v>
      </c>
      <c r="C35" s="51">
        <v>500000</v>
      </c>
      <c r="D35" s="52">
        <v>0.02</v>
      </c>
      <c r="E35" s="46">
        <f t="shared" si="0"/>
        <v>10000</v>
      </c>
      <c r="F35" s="50" t="s">
        <v>66</v>
      </c>
      <c r="G35" s="53">
        <v>1</v>
      </c>
      <c r="H35" s="50" t="s">
        <v>167</v>
      </c>
      <c r="I35" s="50" t="s">
        <v>19</v>
      </c>
      <c r="J35" s="54">
        <v>46288</v>
      </c>
      <c r="K35" s="50" t="s">
        <v>26</v>
      </c>
      <c r="L35" s="50" t="s">
        <v>32</v>
      </c>
      <c r="M35" s="54"/>
      <c r="N35" s="50"/>
      <c r="O35" s="50" t="s">
        <v>168</v>
      </c>
    </row>
    <row r="36" spans="1:15" s="117" customFormat="1">
      <c r="A36" s="50" t="s">
        <v>166</v>
      </c>
      <c r="B36" s="50" t="s">
        <v>29</v>
      </c>
      <c r="C36" s="51">
        <v>500000</v>
      </c>
      <c r="D36" s="52">
        <v>0.02</v>
      </c>
      <c r="E36" s="46">
        <f t="shared" ref="E36" si="2">D36*C36</f>
        <v>10000</v>
      </c>
      <c r="F36" s="50" t="s">
        <v>66</v>
      </c>
      <c r="G36" s="53">
        <v>1</v>
      </c>
      <c r="H36" s="50" t="s">
        <v>18</v>
      </c>
      <c r="I36" s="50" t="s">
        <v>19</v>
      </c>
      <c r="J36" s="54">
        <v>46288</v>
      </c>
      <c r="K36" s="50" t="s">
        <v>26</v>
      </c>
      <c r="L36" s="50" t="s">
        <v>32</v>
      </c>
      <c r="M36" s="54"/>
      <c r="N36" s="50"/>
      <c r="O36" s="50"/>
    </row>
    <row r="37" spans="1:15">
      <c r="A37" s="45" t="s">
        <v>169</v>
      </c>
      <c r="B37" s="45" t="s">
        <v>16</v>
      </c>
      <c r="C37" s="46">
        <v>1000000</v>
      </c>
      <c r="D37" s="47">
        <v>0.02</v>
      </c>
      <c r="E37" s="46">
        <f t="shared" si="0"/>
        <v>20000</v>
      </c>
      <c r="F37" s="45" t="s">
        <v>26</v>
      </c>
      <c r="G37" s="48">
        <v>1</v>
      </c>
      <c r="H37" s="45" t="s">
        <v>39</v>
      </c>
      <c r="I37" s="45" t="s">
        <v>19</v>
      </c>
      <c r="J37" s="49">
        <v>46288</v>
      </c>
      <c r="K37" s="45" t="s">
        <v>26</v>
      </c>
      <c r="L37" s="45" t="s">
        <v>32</v>
      </c>
      <c r="M37" s="49"/>
      <c r="N37" s="45"/>
      <c r="O37" s="45" t="s">
        <v>170</v>
      </c>
    </row>
    <row r="38" spans="1:15">
      <c r="A38" s="50" t="s">
        <v>143</v>
      </c>
      <c r="B38" s="50" t="s">
        <v>16</v>
      </c>
      <c r="C38" s="51">
        <v>1000000</v>
      </c>
      <c r="D38" s="52">
        <v>0.02</v>
      </c>
      <c r="E38" s="46">
        <f t="shared" si="0"/>
        <v>20000</v>
      </c>
      <c r="F38" s="50" t="s">
        <v>26</v>
      </c>
      <c r="G38" s="53">
        <v>1</v>
      </c>
      <c r="H38" s="50" t="s">
        <v>23</v>
      </c>
      <c r="I38" s="50" t="s">
        <v>19</v>
      </c>
      <c r="J38" s="54">
        <v>46288</v>
      </c>
      <c r="K38" s="50" t="s">
        <v>66</v>
      </c>
      <c r="L38" s="50" t="s">
        <v>32</v>
      </c>
      <c r="M38" s="54"/>
      <c r="N38" s="50"/>
      <c r="O38" s="50"/>
    </row>
    <row r="39" spans="1:15">
      <c r="A39" s="45" t="s">
        <v>155</v>
      </c>
      <c r="B39" s="45" t="s">
        <v>16</v>
      </c>
      <c r="C39" s="46">
        <v>1000000</v>
      </c>
      <c r="D39" s="47">
        <v>2.5000000000000001E-2</v>
      </c>
      <c r="E39" s="46">
        <f t="shared" si="0"/>
        <v>25000</v>
      </c>
      <c r="F39" s="45" t="s">
        <v>66</v>
      </c>
      <c r="G39" s="48">
        <v>1</v>
      </c>
      <c r="H39" s="45" t="s">
        <v>23</v>
      </c>
      <c r="I39" s="45" t="s">
        <v>19</v>
      </c>
      <c r="J39" s="49">
        <v>46287</v>
      </c>
      <c r="K39" s="45" t="s">
        <v>66</v>
      </c>
      <c r="L39" s="45" t="s">
        <v>32</v>
      </c>
      <c r="M39" s="49"/>
      <c r="N39" s="45"/>
      <c r="O39" s="45"/>
    </row>
    <row r="40" spans="1:15">
      <c r="A40" s="50" t="s">
        <v>171</v>
      </c>
      <c r="B40" s="50" t="s">
        <v>16</v>
      </c>
      <c r="C40" s="51">
        <v>500000</v>
      </c>
      <c r="D40" s="52">
        <v>0.02</v>
      </c>
      <c r="E40" s="46">
        <f t="shared" si="0"/>
        <v>10000</v>
      </c>
      <c r="F40" s="50" t="s">
        <v>26</v>
      </c>
      <c r="G40" s="53">
        <v>1</v>
      </c>
      <c r="H40" s="50" t="s">
        <v>39</v>
      </c>
      <c r="I40" s="50" t="s">
        <v>19</v>
      </c>
      <c r="J40" s="54">
        <v>46288</v>
      </c>
      <c r="K40" s="50" t="s">
        <v>26</v>
      </c>
      <c r="L40" s="50" t="s">
        <v>32</v>
      </c>
      <c r="M40" s="54"/>
      <c r="N40" s="50"/>
      <c r="O40" s="50"/>
    </row>
    <row r="41" spans="1:15">
      <c r="A41" s="45" t="s">
        <v>172</v>
      </c>
      <c r="B41" s="45" t="s">
        <v>16</v>
      </c>
      <c r="C41" s="46">
        <v>1000000</v>
      </c>
      <c r="D41" s="47">
        <v>0.02</v>
      </c>
      <c r="E41" s="46">
        <f t="shared" si="0"/>
        <v>20000</v>
      </c>
      <c r="F41" s="45" t="s">
        <v>26</v>
      </c>
      <c r="G41" s="48">
        <v>1</v>
      </c>
      <c r="H41" s="45" t="s">
        <v>39</v>
      </c>
      <c r="I41" s="45" t="s">
        <v>19</v>
      </c>
      <c r="J41" s="49">
        <v>46288</v>
      </c>
      <c r="K41" s="45" t="s">
        <v>26</v>
      </c>
      <c r="L41" s="45" t="s">
        <v>32</v>
      </c>
      <c r="M41" s="49"/>
      <c r="N41" s="45"/>
      <c r="O41" s="45"/>
    </row>
    <row r="42" spans="1:15">
      <c r="A42" s="50"/>
      <c r="B42" s="50"/>
      <c r="C42" s="51"/>
      <c r="D42" s="52"/>
      <c r="E42" s="46">
        <f t="shared" si="0"/>
        <v>0</v>
      </c>
      <c r="F42" s="50"/>
      <c r="G42" s="53"/>
      <c r="H42" s="50"/>
      <c r="I42" s="50"/>
      <c r="J42" s="54"/>
      <c r="K42" s="50"/>
      <c r="L42" s="50"/>
      <c r="M42" s="54"/>
      <c r="N42" s="50"/>
      <c r="O42" s="50"/>
    </row>
    <row r="43" spans="1:15">
      <c r="A43" s="45"/>
      <c r="B43" s="45"/>
      <c r="C43" s="46"/>
      <c r="D43" s="47"/>
      <c r="E43" s="46">
        <f t="shared" si="0"/>
        <v>0</v>
      </c>
      <c r="F43" s="45"/>
      <c r="G43" s="48"/>
      <c r="H43" s="45"/>
      <c r="I43" s="45"/>
      <c r="J43" s="49"/>
      <c r="K43" s="45"/>
      <c r="L43" s="45"/>
      <c r="M43" s="49"/>
      <c r="N43" s="45"/>
      <c r="O43" s="45"/>
    </row>
    <row r="44" spans="1:15">
      <c r="A44" s="50"/>
      <c r="B44" s="50"/>
      <c r="C44" s="51"/>
      <c r="D44" s="52"/>
      <c r="E44" s="46">
        <f t="shared" si="0"/>
        <v>0</v>
      </c>
      <c r="F44" s="50"/>
      <c r="G44" s="53"/>
      <c r="H44" s="50"/>
      <c r="I44" s="50"/>
      <c r="J44" s="54"/>
      <c r="K44" s="50"/>
      <c r="L44" s="50"/>
      <c r="M44" s="54"/>
      <c r="N44" s="50"/>
      <c r="O44" s="50"/>
    </row>
    <row r="45" spans="1:15">
      <c r="A45" s="45"/>
      <c r="B45" s="45"/>
      <c r="C45" s="46"/>
      <c r="D45" s="47"/>
      <c r="E45" s="46">
        <f t="shared" si="0"/>
        <v>0</v>
      </c>
      <c r="F45" s="45"/>
      <c r="G45" s="48"/>
      <c r="H45" s="45"/>
      <c r="I45" s="45"/>
      <c r="J45" s="49"/>
      <c r="K45" s="45"/>
      <c r="L45" s="45"/>
      <c r="M45" s="49"/>
      <c r="N45" s="45"/>
      <c r="O45" s="45"/>
    </row>
    <row r="46" spans="1:15">
      <c r="A46" s="50"/>
      <c r="B46" s="50"/>
      <c r="C46" s="51"/>
      <c r="D46" s="52"/>
      <c r="E46" s="46">
        <f t="shared" si="0"/>
        <v>0</v>
      </c>
      <c r="F46" s="50"/>
      <c r="G46" s="53"/>
      <c r="H46" s="50"/>
      <c r="I46" s="50"/>
      <c r="J46" s="54"/>
      <c r="K46" s="50"/>
      <c r="L46" s="50"/>
      <c r="M46" s="54"/>
      <c r="N46" s="50"/>
      <c r="O46" s="50"/>
    </row>
    <row r="47" spans="1:15">
      <c r="A47" s="45"/>
      <c r="B47" s="45"/>
      <c r="C47" s="46"/>
      <c r="D47" s="47"/>
      <c r="E47" s="46">
        <f t="shared" si="0"/>
        <v>0</v>
      </c>
      <c r="F47" s="45"/>
      <c r="G47" s="48"/>
      <c r="H47" s="45"/>
      <c r="I47" s="45"/>
      <c r="J47" s="49"/>
      <c r="K47" s="45"/>
      <c r="L47" s="45"/>
      <c r="M47" s="49"/>
      <c r="N47" s="45"/>
      <c r="O47" s="45"/>
    </row>
    <row r="48" spans="1:15">
      <c r="A48" s="50"/>
      <c r="B48" s="50"/>
      <c r="C48" s="51"/>
      <c r="D48" s="52"/>
      <c r="E48" s="46">
        <f t="shared" si="0"/>
        <v>0</v>
      </c>
      <c r="F48" s="50"/>
      <c r="G48" s="53"/>
      <c r="H48" s="50"/>
      <c r="I48" s="50"/>
      <c r="J48" s="54"/>
      <c r="K48" s="50"/>
      <c r="L48" s="50"/>
      <c r="M48" s="54"/>
      <c r="N48" s="50"/>
      <c r="O48" s="50"/>
    </row>
    <row r="49" spans="1:15">
      <c r="A49" s="45"/>
      <c r="B49" s="45"/>
      <c r="C49" s="46"/>
      <c r="D49" s="47"/>
      <c r="E49" s="46">
        <f t="shared" si="0"/>
        <v>0</v>
      </c>
      <c r="F49" s="45"/>
      <c r="G49" s="48"/>
      <c r="H49" s="45"/>
      <c r="I49" s="45"/>
      <c r="J49" s="49"/>
      <c r="K49" s="45"/>
      <c r="L49" s="45"/>
      <c r="M49" s="49"/>
      <c r="N49" s="45"/>
      <c r="O49" s="45"/>
    </row>
    <row r="50" spans="1:15">
      <c r="A50" s="50"/>
      <c r="B50" s="50"/>
      <c r="C50" s="51"/>
      <c r="D50" s="52"/>
      <c r="E50" s="46">
        <f t="shared" si="0"/>
        <v>0</v>
      </c>
      <c r="F50" s="50"/>
      <c r="G50" s="53"/>
      <c r="H50" s="50"/>
      <c r="I50" s="50"/>
      <c r="J50" s="54"/>
      <c r="K50" s="50"/>
      <c r="L50" s="50"/>
      <c r="M50" s="54"/>
      <c r="N50" s="50"/>
      <c r="O50" s="50"/>
    </row>
    <row r="51" spans="1:15">
      <c r="A51" s="45"/>
      <c r="B51" s="45"/>
      <c r="C51" s="46"/>
      <c r="D51" s="47"/>
      <c r="E51" s="46">
        <f t="shared" ref="E51:E114" si="3">D51*C51</f>
        <v>0</v>
      </c>
      <c r="F51" s="45"/>
      <c r="G51" s="48"/>
      <c r="H51" s="45"/>
      <c r="I51" s="45"/>
      <c r="J51" s="49"/>
      <c r="K51" s="45"/>
      <c r="L51" s="45"/>
      <c r="M51" s="49"/>
      <c r="N51" s="45"/>
      <c r="O51" s="45"/>
    </row>
    <row r="52" spans="1:15">
      <c r="A52" s="50"/>
      <c r="B52" s="50"/>
      <c r="C52" s="51"/>
      <c r="D52" s="52"/>
      <c r="E52" s="46">
        <f t="shared" si="3"/>
        <v>0</v>
      </c>
      <c r="F52" s="50"/>
      <c r="G52" s="53"/>
      <c r="H52" s="50"/>
      <c r="I52" s="50"/>
      <c r="J52" s="54"/>
      <c r="K52" s="50"/>
      <c r="L52" s="50"/>
      <c r="M52" s="54"/>
      <c r="N52" s="50"/>
      <c r="O52" s="50"/>
    </row>
    <row r="53" spans="1:15">
      <c r="A53" s="45"/>
      <c r="B53" s="45"/>
      <c r="C53" s="46"/>
      <c r="D53" s="47"/>
      <c r="E53" s="46">
        <f t="shared" si="3"/>
        <v>0</v>
      </c>
      <c r="F53" s="45"/>
      <c r="G53" s="48"/>
      <c r="H53" s="45"/>
      <c r="I53" s="45"/>
      <c r="J53" s="49"/>
      <c r="K53" s="45"/>
      <c r="L53" s="45"/>
      <c r="M53" s="49"/>
      <c r="N53" s="45"/>
      <c r="O53" s="45"/>
    </row>
    <row r="54" spans="1:15">
      <c r="A54" s="50"/>
      <c r="B54" s="50"/>
      <c r="C54" s="51"/>
      <c r="D54" s="52"/>
      <c r="E54" s="46">
        <f t="shared" si="3"/>
        <v>0</v>
      </c>
      <c r="F54" s="50"/>
      <c r="G54" s="53"/>
      <c r="H54" s="50"/>
      <c r="I54" s="50"/>
      <c r="J54" s="54"/>
      <c r="K54" s="50"/>
      <c r="L54" s="50"/>
      <c r="M54" s="54"/>
      <c r="N54" s="50"/>
      <c r="O54" s="50"/>
    </row>
    <row r="55" spans="1:15">
      <c r="A55" s="45"/>
      <c r="B55" s="45"/>
      <c r="C55" s="46"/>
      <c r="D55" s="47"/>
      <c r="E55" s="46">
        <f t="shared" si="3"/>
        <v>0</v>
      </c>
      <c r="F55" s="45"/>
      <c r="G55" s="48"/>
      <c r="H55" s="45"/>
      <c r="I55" s="45"/>
      <c r="J55" s="49"/>
      <c r="K55" s="45"/>
      <c r="L55" s="45"/>
      <c r="M55" s="49"/>
      <c r="N55" s="45"/>
      <c r="O55" s="45"/>
    </row>
    <row r="56" spans="1:15">
      <c r="A56" s="50"/>
      <c r="B56" s="50"/>
      <c r="C56" s="51"/>
      <c r="D56" s="52"/>
      <c r="E56" s="46">
        <f t="shared" si="3"/>
        <v>0</v>
      </c>
      <c r="F56" s="50"/>
      <c r="G56" s="53"/>
      <c r="H56" s="50"/>
      <c r="I56" s="50"/>
      <c r="J56" s="54"/>
      <c r="K56" s="50"/>
      <c r="L56" s="50"/>
      <c r="M56" s="54"/>
      <c r="N56" s="50"/>
      <c r="O56" s="50"/>
    </row>
    <row r="57" spans="1:15">
      <c r="A57" s="45"/>
      <c r="B57" s="45"/>
      <c r="C57" s="46"/>
      <c r="D57" s="47"/>
      <c r="E57" s="46">
        <f t="shared" si="3"/>
        <v>0</v>
      </c>
      <c r="F57" s="45"/>
      <c r="G57" s="48"/>
      <c r="H57" s="45"/>
      <c r="I57" s="45"/>
      <c r="J57" s="49"/>
      <c r="K57" s="45"/>
      <c r="L57" s="45"/>
      <c r="M57" s="49"/>
      <c r="N57" s="45"/>
      <c r="O57" s="45"/>
    </row>
    <row r="58" spans="1:15">
      <c r="A58" s="50"/>
      <c r="B58" s="50"/>
      <c r="C58" s="51"/>
      <c r="D58" s="52"/>
      <c r="E58" s="46">
        <f t="shared" si="3"/>
        <v>0</v>
      </c>
      <c r="F58" s="50"/>
      <c r="G58" s="53"/>
      <c r="H58" s="50"/>
      <c r="I58" s="50"/>
      <c r="J58" s="54"/>
      <c r="K58" s="50"/>
      <c r="L58" s="50"/>
      <c r="M58" s="54"/>
      <c r="N58" s="50"/>
      <c r="O58" s="50"/>
    </row>
    <row r="59" spans="1:15">
      <c r="A59" s="45"/>
      <c r="B59" s="45"/>
      <c r="C59" s="46"/>
      <c r="D59" s="47"/>
      <c r="E59" s="46">
        <f t="shared" si="3"/>
        <v>0</v>
      </c>
      <c r="F59" s="45"/>
      <c r="G59" s="48"/>
      <c r="H59" s="45"/>
      <c r="I59" s="45"/>
      <c r="J59" s="49"/>
      <c r="K59" s="45"/>
      <c r="L59" s="45"/>
      <c r="M59" s="49"/>
      <c r="N59" s="45"/>
      <c r="O59" s="45"/>
    </row>
    <row r="60" spans="1:15">
      <c r="A60" s="50"/>
      <c r="B60" s="50"/>
      <c r="C60" s="51"/>
      <c r="D60" s="52"/>
      <c r="E60" s="46">
        <f t="shared" si="3"/>
        <v>0</v>
      </c>
      <c r="F60" s="50"/>
      <c r="G60" s="53"/>
      <c r="H60" s="50"/>
      <c r="I60" s="50"/>
      <c r="J60" s="54"/>
      <c r="K60" s="50"/>
      <c r="L60" s="50"/>
      <c r="M60" s="54"/>
      <c r="N60" s="50"/>
      <c r="O60" s="50"/>
    </row>
    <row r="61" spans="1:15">
      <c r="A61" s="45"/>
      <c r="B61" s="45"/>
      <c r="C61" s="46"/>
      <c r="D61" s="47"/>
      <c r="E61" s="46">
        <f t="shared" si="3"/>
        <v>0</v>
      </c>
      <c r="F61" s="45"/>
      <c r="G61" s="48"/>
      <c r="H61" s="45"/>
      <c r="I61" s="45"/>
      <c r="J61" s="49"/>
      <c r="K61" s="45"/>
      <c r="L61" s="45"/>
      <c r="M61" s="49"/>
      <c r="N61" s="45"/>
      <c r="O61" s="45"/>
    </row>
    <row r="62" spans="1:15">
      <c r="A62" s="50"/>
      <c r="B62" s="50"/>
      <c r="C62" s="51"/>
      <c r="D62" s="52"/>
      <c r="E62" s="46">
        <f t="shared" si="3"/>
        <v>0</v>
      </c>
      <c r="F62" s="50"/>
      <c r="G62" s="53"/>
      <c r="H62" s="50"/>
      <c r="I62" s="50"/>
      <c r="J62" s="54"/>
      <c r="K62" s="50"/>
      <c r="L62" s="50"/>
      <c r="M62" s="54"/>
      <c r="N62" s="50"/>
      <c r="O62" s="50"/>
    </row>
    <row r="63" spans="1:15">
      <c r="A63" s="45"/>
      <c r="B63" s="45"/>
      <c r="C63" s="46"/>
      <c r="D63" s="47"/>
      <c r="E63" s="46">
        <f t="shared" si="3"/>
        <v>0</v>
      </c>
      <c r="F63" s="45"/>
      <c r="G63" s="48"/>
      <c r="H63" s="45"/>
      <c r="I63" s="45"/>
      <c r="J63" s="49"/>
      <c r="K63" s="45"/>
      <c r="L63" s="45"/>
      <c r="M63" s="49"/>
      <c r="N63" s="45"/>
      <c r="O63" s="45"/>
    </row>
    <row r="64" spans="1:15">
      <c r="A64" s="50"/>
      <c r="B64" s="50"/>
      <c r="C64" s="51"/>
      <c r="D64" s="52"/>
      <c r="E64" s="46">
        <f t="shared" si="3"/>
        <v>0</v>
      </c>
      <c r="F64" s="50"/>
      <c r="G64" s="53"/>
      <c r="H64" s="50"/>
      <c r="I64" s="50"/>
      <c r="J64" s="54"/>
      <c r="K64" s="50"/>
      <c r="L64" s="50"/>
      <c r="M64" s="54"/>
      <c r="N64" s="50"/>
      <c r="O64" s="50"/>
    </row>
    <row r="65" spans="1:15">
      <c r="A65" s="45"/>
      <c r="B65" s="45"/>
      <c r="C65" s="46"/>
      <c r="D65" s="47"/>
      <c r="E65" s="46">
        <f t="shared" si="3"/>
        <v>0</v>
      </c>
      <c r="F65" s="45"/>
      <c r="G65" s="48"/>
      <c r="H65" s="45"/>
      <c r="I65" s="45"/>
      <c r="J65" s="49"/>
      <c r="K65" s="45"/>
      <c r="L65" s="45"/>
      <c r="M65" s="49"/>
      <c r="N65" s="45"/>
      <c r="O65" s="45"/>
    </row>
    <row r="66" spans="1:15">
      <c r="A66" s="50"/>
      <c r="B66" s="50"/>
      <c r="C66" s="51"/>
      <c r="D66" s="52"/>
      <c r="E66" s="46">
        <f t="shared" si="3"/>
        <v>0</v>
      </c>
      <c r="F66" s="50"/>
      <c r="G66" s="53"/>
      <c r="H66" s="50"/>
      <c r="I66" s="50"/>
      <c r="J66" s="54"/>
      <c r="K66" s="50"/>
      <c r="L66" s="50"/>
      <c r="M66" s="54"/>
      <c r="N66" s="50"/>
      <c r="O66" s="50"/>
    </row>
    <row r="67" spans="1:15">
      <c r="A67" s="45"/>
      <c r="B67" s="45"/>
      <c r="C67" s="46"/>
      <c r="D67" s="47"/>
      <c r="E67" s="46">
        <f t="shared" si="3"/>
        <v>0</v>
      </c>
      <c r="F67" s="45"/>
      <c r="G67" s="48"/>
      <c r="H67" s="45"/>
      <c r="I67" s="45"/>
      <c r="J67" s="49"/>
      <c r="K67" s="45"/>
      <c r="L67" s="45"/>
      <c r="M67" s="49"/>
      <c r="N67" s="45"/>
      <c r="O67" s="45"/>
    </row>
    <row r="68" spans="1:15">
      <c r="A68" s="50"/>
      <c r="B68" s="50"/>
      <c r="C68" s="51"/>
      <c r="D68" s="52"/>
      <c r="E68" s="46">
        <f t="shared" si="3"/>
        <v>0</v>
      </c>
      <c r="F68" s="50"/>
      <c r="G68" s="53"/>
      <c r="H68" s="50"/>
      <c r="I68" s="50"/>
      <c r="J68" s="54"/>
      <c r="K68" s="50"/>
      <c r="L68" s="50"/>
      <c r="M68" s="54"/>
      <c r="N68" s="50"/>
      <c r="O68" s="50"/>
    </row>
    <row r="69" spans="1:15">
      <c r="A69" s="45"/>
      <c r="B69" s="45"/>
      <c r="C69" s="46"/>
      <c r="D69" s="47"/>
      <c r="E69" s="46">
        <f t="shared" si="3"/>
        <v>0</v>
      </c>
      <c r="F69" s="45"/>
      <c r="G69" s="48"/>
      <c r="H69" s="45"/>
      <c r="I69" s="45"/>
      <c r="J69" s="49"/>
      <c r="K69" s="45"/>
      <c r="L69" s="45"/>
      <c r="M69" s="49"/>
      <c r="N69" s="45"/>
      <c r="O69" s="45"/>
    </row>
    <row r="70" spans="1:15">
      <c r="A70" s="50"/>
      <c r="B70" s="50"/>
      <c r="C70" s="51"/>
      <c r="D70" s="52"/>
      <c r="E70" s="46">
        <f t="shared" si="3"/>
        <v>0</v>
      </c>
      <c r="F70" s="50"/>
      <c r="G70" s="53"/>
      <c r="H70" s="50"/>
      <c r="I70" s="50"/>
      <c r="J70" s="54"/>
      <c r="K70" s="50"/>
      <c r="L70" s="50"/>
      <c r="M70" s="54"/>
      <c r="N70" s="50"/>
      <c r="O70" s="50"/>
    </row>
    <row r="71" spans="1:15">
      <c r="A71" s="45"/>
      <c r="B71" s="45"/>
      <c r="C71" s="46"/>
      <c r="D71" s="47"/>
      <c r="E71" s="46">
        <f t="shared" si="3"/>
        <v>0</v>
      </c>
      <c r="F71" s="45"/>
      <c r="G71" s="48"/>
      <c r="H71" s="45"/>
      <c r="I71" s="45"/>
      <c r="J71" s="49"/>
      <c r="K71" s="45"/>
      <c r="L71" s="45"/>
      <c r="M71" s="49"/>
      <c r="N71" s="45"/>
      <c r="O71" s="45"/>
    </row>
    <row r="72" spans="1:15">
      <c r="A72" s="50"/>
      <c r="B72" s="50"/>
      <c r="C72" s="51"/>
      <c r="D72" s="52"/>
      <c r="E72" s="46">
        <f t="shared" si="3"/>
        <v>0</v>
      </c>
      <c r="F72" s="50"/>
      <c r="G72" s="53"/>
      <c r="H72" s="50"/>
      <c r="I72" s="50"/>
      <c r="J72" s="54"/>
      <c r="K72" s="50"/>
      <c r="L72" s="50"/>
      <c r="M72" s="54"/>
      <c r="N72" s="50"/>
      <c r="O72" s="50"/>
    </row>
    <row r="73" spans="1:15">
      <c r="A73" s="45"/>
      <c r="B73" s="45"/>
      <c r="C73" s="46"/>
      <c r="D73" s="47"/>
      <c r="E73" s="46">
        <f t="shared" si="3"/>
        <v>0</v>
      </c>
      <c r="F73" s="45"/>
      <c r="G73" s="48"/>
      <c r="H73" s="45"/>
      <c r="I73" s="45"/>
      <c r="J73" s="49"/>
      <c r="K73" s="45"/>
      <c r="L73" s="45"/>
      <c r="M73" s="49"/>
      <c r="N73" s="45"/>
      <c r="O73" s="45"/>
    </row>
    <row r="74" spans="1:15">
      <c r="A74" s="50"/>
      <c r="B74" s="50"/>
      <c r="C74" s="51"/>
      <c r="D74" s="52"/>
      <c r="E74" s="46">
        <f t="shared" si="3"/>
        <v>0</v>
      </c>
      <c r="F74" s="50"/>
      <c r="G74" s="53"/>
      <c r="H74" s="50"/>
      <c r="I74" s="50"/>
      <c r="J74" s="54"/>
      <c r="K74" s="50"/>
      <c r="L74" s="50"/>
      <c r="M74" s="54"/>
      <c r="N74" s="50"/>
      <c r="O74" s="50"/>
    </row>
    <row r="75" spans="1:15">
      <c r="A75" s="45"/>
      <c r="B75" s="45"/>
      <c r="C75" s="46"/>
      <c r="D75" s="47"/>
      <c r="E75" s="46">
        <f t="shared" si="3"/>
        <v>0</v>
      </c>
      <c r="F75" s="45"/>
      <c r="G75" s="48"/>
      <c r="H75" s="45"/>
      <c r="I75" s="45"/>
      <c r="J75" s="49"/>
      <c r="K75" s="45"/>
      <c r="L75" s="45"/>
      <c r="M75" s="49"/>
      <c r="N75" s="45"/>
      <c r="O75" s="45"/>
    </row>
    <row r="76" spans="1:15">
      <c r="A76" s="50"/>
      <c r="B76" s="50"/>
      <c r="C76" s="51"/>
      <c r="D76" s="52"/>
      <c r="E76" s="46">
        <f t="shared" si="3"/>
        <v>0</v>
      </c>
      <c r="F76" s="50"/>
      <c r="G76" s="53"/>
      <c r="H76" s="50"/>
      <c r="I76" s="50"/>
      <c r="J76" s="54"/>
      <c r="K76" s="50"/>
      <c r="L76" s="50"/>
      <c r="M76" s="54"/>
      <c r="N76" s="50"/>
      <c r="O76" s="50"/>
    </row>
    <row r="77" spans="1:15">
      <c r="A77" s="45"/>
      <c r="B77" s="45"/>
      <c r="C77" s="46"/>
      <c r="D77" s="47"/>
      <c r="E77" s="46">
        <f t="shared" si="3"/>
        <v>0</v>
      </c>
      <c r="F77" s="45"/>
      <c r="G77" s="48"/>
      <c r="H77" s="45"/>
      <c r="I77" s="45"/>
      <c r="J77" s="49"/>
      <c r="K77" s="45"/>
      <c r="L77" s="45"/>
      <c r="M77" s="49"/>
      <c r="N77" s="45"/>
      <c r="O77" s="45"/>
    </row>
    <row r="78" spans="1:15">
      <c r="A78" s="50"/>
      <c r="B78" s="50"/>
      <c r="C78" s="51"/>
      <c r="D78" s="52"/>
      <c r="E78" s="46">
        <f t="shared" si="3"/>
        <v>0</v>
      </c>
      <c r="F78" s="50"/>
      <c r="G78" s="53"/>
      <c r="H78" s="50"/>
      <c r="I78" s="50"/>
      <c r="J78" s="54"/>
      <c r="K78" s="50"/>
      <c r="L78" s="50"/>
      <c r="M78" s="54"/>
      <c r="N78" s="50"/>
      <c r="O78" s="50"/>
    </row>
    <row r="79" spans="1:15">
      <c r="A79" s="45"/>
      <c r="B79" s="45"/>
      <c r="C79" s="46"/>
      <c r="D79" s="47"/>
      <c r="E79" s="46">
        <f t="shared" si="3"/>
        <v>0</v>
      </c>
      <c r="F79" s="45"/>
      <c r="G79" s="48"/>
      <c r="H79" s="45"/>
      <c r="I79" s="45"/>
      <c r="J79" s="49"/>
      <c r="K79" s="45"/>
      <c r="L79" s="45"/>
      <c r="M79" s="49"/>
      <c r="N79" s="45"/>
      <c r="O79" s="45"/>
    </row>
    <row r="80" spans="1:15">
      <c r="A80" s="50"/>
      <c r="B80" s="50"/>
      <c r="C80" s="51"/>
      <c r="D80" s="52"/>
      <c r="E80" s="46">
        <f t="shared" si="3"/>
        <v>0</v>
      </c>
      <c r="F80" s="50"/>
      <c r="G80" s="53"/>
      <c r="H80" s="50"/>
      <c r="I80" s="50"/>
      <c r="J80" s="54"/>
      <c r="K80" s="50"/>
      <c r="L80" s="50"/>
      <c r="M80" s="54"/>
      <c r="N80" s="50"/>
      <c r="O80" s="50"/>
    </row>
    <row r="81" spans="1:15">
      <c r="A81" s="45"/>
      <c r="B81" s="45"/>
      <c r="C81" s="46"/>
      <c r="D81" s="47"/>
      <c r="E81" s="46">
        <f t="shared" si="3"/>
        <v>0</v>
      </c>
      <c r="F81" s="45"/>
      <c r="G81" s="48"/>
      <c r="H81" s="45"/>
      <c r="I81" s="45"/>
      <c r="J81" s="49"/>
      <c r="K81" s="45"/>
      <c r="L81" s="45"/>
      <c r="M81" s="49"/>
      <c r="N81" s="45"/>
      <c r="O81" s="45"/>
    </row>
    <row r="82" spans="1:15">
      <c r="A82" s="50"/>
      <c r="B82" s="50"/>
      <c r="C82" s="51"/>
      <c r="D82" s="52"/>
      <c r="E82" s="46">
        <f t="shared" si="3"/>
        <v>0</v>
      </c>
      <c r="F82" s="50"/>
      <c r="G82" s="53"/>
      <c r="H82" s="50"/>
      <c r="I82" s="50"/>
      <c r="J82" s="54"/>
      <c r="K82" s="50"/>
      <c r="L82" s="50"/>
      <c r="M82" s="54"/>
      <c r="N82" s="50"/>
      <c r="O82" s="50"/>
    </row>
    <row r="83" spans="1:15">
      <c r="A83" s="45"/>
      <c r="B83" s="45"/>
      <c r="C83" s="46"/>
      <c r="D83" s="47"/>
      <c r="E83" s="46">
        <f t="shared" si="3"/>
        <v>0</v>
      </c>
      <c r="F83" s="45"/>
      <c r="G83" s="48"/>
      <c r="H83" s="45"/>
      <c r="I83" s="45"/>
      <c r="J83" s="49"/>
      <c r="K83" s="45"/>
      <c r="L83" s="45"/>
      <c r="M83" s="49"/>
      <c r="N83" s="45"/>
      <c r="O83" s="45"/>
    </row>
    <row r="84" spans="1:15">
      <c r="A84" s="50"/>
      <c r="B84" s="50"/>
      <c r="C84" s="51"/>
      <c r="D84" s="52"/>
      <c r="E84" s="46">
        <f t="shared" si="3"/>
        <v>0</v>
      </c>
      <c r="F84" s="50"/>
      <c r="G84" s="53"/>
      <c r="H84" s="50"/>
      <c r="I84" s="50"/>
      <c r="J84" s="54"/>
      <c r="K84" s="50"/>
      <c r="L84" s="50"/>
      <c r="M84" s="54"/>
      <c r="N84" s="50"/>
      <c r="O84" s="50"/>
    </row>
    <row r="85" spans="1:15">
      <c r="A85" s="45"/>
      <c r="B85" s="45"/>
      <c r="C85" s="46"/>
      <c r="D85" s="47"/>
      <c r="E85" s="46">
        <f t="shared" si="3"/>
        <v>0</v>
      </c>
      <c r="F85" s="45"/>
      <c r="G85" s="48"/>
      <c r="H85" s="45"/>
      <c r="I85" s="45"/>
      <c r="J85" s="49"/>
      <c r="K85" s="45"/>
      <c r="L85" s="45"/>
      <c r="M85" s="49"/>
      <c r="N85" s="45"/>
      <c r="O85" s="45"/>
    </row>
    <row r="86" spans="1:15">
      <c r="A86" s="50"/>
      <c r="B86" s="50"/>
      <c r="C86" s="51"/>
      <c r="D86" s="52"/>
      <c r="E86" s="46">
        <f t="shared" si="3"/>
        <v>0</v>
      </c>
      <c r="F86" s="50"/>
      <c r="G86" s="53"/>
      <c r="H86" s="50"/>
      <c r="I86" s="50"/>
      <c r="J86" s="54"/>
      <c r="K86" s="50"/>
      <c r="L86" s="50"/>
      <c r="M86" s="54"/>
      <c r="N86" s="50"/>
      <c r="O86" s="50"/>
    </row>
    <row r="87" spans="1:15">
      <c r="A87" s="45"/>
      <c r="B87" s="45"/>
      <c r="C87" s="46"/>
      <c r="D87" s="47"/>
      <c r="E87" s="46">
        <f t="shared" si="3"/>
        <v>0</v>
      </c>
      <c r="F87" s="45"/>
      <c r="G87" s="48"/>
      <c r="H87" s="45"/>
      <c r="I87" s="45"/>
      <c r="J87" s="49"/>
      <c r="K87" s="45"/>
      <c r="L87" s="45"/>
      <c r="M87" s="49"/>
      <c r="N87" s="45"/>
      <c r="O87" s="45"/>
    </row>
    <row r="88" spans="1:15">
      <c r="A88" s="50"/>
      <c r="B88" s="50"/>
      <c r="C88" s="51"/>
      <c r="D88" s="52"/>
      <c r="E88" s="46">
        <f t="shared" si="3"/>
        <v>0</v>
      </c>
      <c r="F88" s="50"/>
      <c r="G88" s="53"/>
      <c r="H88" s="50"/>
      <c r="I88" s="50"/>
      <c r="J88" s="54"/>
      <c r="K88" s="50"/>
      <c r="L88" s="50"/>
      <c r="M88" s="54"/>
      <c r="N88" s="50"/>
      <c r="O88" s="50"/>
    </row>
    <row r="89" spans="1:15">
      <c r="A89" s="45"/>
      <c r="B89" s="45"/>
      <c r="C89" s="46"/>
      <c r="D89" s="47"/>
      <c r="E89" s="46">
        <f t="shared" si="3"/>
        <v>0</v>
      </c>
      <c r="F89" s="45"/>
      <c r="G89" s="48"/>
      <c r="H89" s="45"/>
      <c r="I89" s="45"/>
      <c r="J89" s="49"/>
      <c r="K89" s="45"/>
      <c r="L89" s="45"/>
      <c r="M89" s="49"/>
      <c r="N89" s="45"/>
      <c r="O89" s="45"/>
    </row>
    <row r="90" spans="1:15">
      <c r="A90" s="50"/>
      <c r="B90" s="50"/>
      <c r="C90" s="51"/>
      <c r="D90" s="52"/>
      <c r="E90" s="46">
        <f t="shared" si="3"/>
        <v>0</v>
      </c>
      <c r="F90" s="50"/>
      <c r="G90" s="53"/>
      <c r="H90" s="50"/>
      <c r="I90" s="50"/>
      <c r="J90" s="54"/>
      <c r="K90" s="50"/>
      <c r="L90" s="50"/>
      <c r="M90" s="54"/>
      <c r="N90" s="50"/>
      <c r="O90" s="50"/>
    </row>
    <row r="91" spans="1:15">
      <c r="A91" s="45"/>
      <c r="B91" s="45"/>
      <c r="C91" s="46"/>
      <c r="D91" s="47"/>
      <c r="E91" s="46">
        <f t="shared" si="3"/>
        <v>0</v>
      </c>
      <c r="F91" s="45"/>
      <c r="G91" s="48"/>
      <c r="H91" s="45"/>
      <c r="I91" s="45"/>
      <c r="J91" s="49"/>
      <c r="K91" s="45"/>
      <c r="L91" s="45"/>
      <c r="M91" s="49"/>
      <c r="N91" s="45"/>
      <c r="O91" s="45"/>
    </row>
    <row r="92" spans="1:15">
      <c r="A92" s="50"/>
      <c r="B92" s="50"/>
      <c r="C92" s="51"/>
      <c r="D92" s="52"/>
      <c r="E92" s="46">
        <f t="shared" si="3"/>
        <v>0</v>
      </c>
      <c r="F92" s="50"/>
      <c r="G92" s="53"/>
      <c r="H92" s="50"/>
      <c r="I92" s="50"/>
      <c r="J92" s="54"/>
      <c r="K92" s="50"/>
      <c r="L92" s="50"/>
      <c r="M92" s="54"/>
      <c r="N92" s="50"/>
      <c r="O92" s="50"/>
    </row>
    <row r="93" spans="1:15">
      <c r="A93" s="45"/>
      <c r="B93" s="45"/>
      <c r="C93" s="46"/>
      <c r="D93" s="47"/>
      <c r="E93" s="46">
        <f t="shared" si="3"/>
        <v>0</v>
      </c>
      <c r="F93" s="45"/>
      <c r="G93" s="48"/>
      <c r="H93" s="45"/>
      <c r="I93" s="45"/>
      <c r="J93" s="49"/>
      <c r="K93" s="45"/>
      <c r="L93" s="45"/>
      <c r="M93" s="49"/>
      <c r="N93" s="45"/>
      <c r="O93" s="45"/>
    </row>
    <row r="94" spans="1:15">
      <c r="A94" s="50"/>
      <c r="B94" s="50"/>
      <c r="C94" s="51"/>
      <c r="D94" s="52"/>
      <c r="E94" s="46">
        <f t="shared" si="3"/>
        <v>0</v>
      </c>
      <c r="F94" s="50"/>
      <c r="G94" s="53"/>
      <c r="H94" s="50"/>
      <c r="I94" s="50"/>
      <c r="J94" s="54"/>
      <c r="K94" s="50"/>
      <c r="L94" s="50"/>
      <c r="M94" s="54"/>
      <c r="N94" s="50"/>
      <c r="O94" s="50"/>
    </row>
    <row r="95" spans="1:15">
      <c r="A95" s="45"/>
      <c r="B95" s="45"/>
      <c r="C95" s="46"/>
      <c r="D95" s="47"/>
      <c r="E95" s="46">
        <f t="shared" si="3"/>
        <v>0</v>
      </c>
      <c r="F95" s="45"/>
      <c r="G95" s="48"/>
      <c r="H95" s="45"/>
      <c r="I95" s="45"/>
      <c r="J95" s="49"/>
      <c r="K95" s="45"/>
      <c r="L95" s="45"/>
      <c r="M95" s="49"/>
      <c r="N95" s="45"/>
      <c r="O95" s="45"/>
    </row>
    <row r="96" spans="1:15">
      <c r="A96" s="50"/>
      <c r="B96" s="50"/>
      <c r="C96" s="51"/>
      <c r="D96" s="52"/>
      <c r="E96" s="46">
        <f t="shared" si="3"/>
        <v>0</v>
      </c>
      <c r="F96" s="50"/>
      <c r="G96" s="53"/>
      <c r="H96" s="50"/>
      <c r="I96" s="50"/>
      <c r="J96" s="54"/>
      <c r="K96" s="50"/>
      <c r="L96" s="50"/>
      <c r="M96" s="54"/>
      <c r="N96" s="50"/>
      <c r="O96" s="50"/>
    </row>
    <row r="97" spans="1:15">
      <c r="A97" s="45"/>
      <c r="B97" s="45"/>
      <c r="C97" s="46"/>
      <c r="D97" s="47"/>
      <c r="E97" s="46">
        <f t="shared" si="3"/>
        <v>0</v>
      </c>
      <c r="F97" s="45"/>
      <c r="G97" s="48"/>
      <c r="H97" s="45"/>
      <c r="I97" s="45"/>
      <c r="J97" s="49"/>
      <c r="K97" s="45"/>
      <c r="L97" s="45"/>
      <c r="M97" s="49"/>
      <c r="N97" s="45"/>
      <c r="O97" s="45"/>
    </row>
    <row r="98" spans="1:15">
      <c r="A98" s="50"/>
      <c r="B98" s="50"/>
      <c r="C98" s="51"/>
      <c r="D98" s="52"/>
      <c r="E98" s="46">
        <f t="shared" si="3"/>
        <v>0</v>
      </c>
      <c r="F98" s="50"/>
      <c r="G98" s="53"/>
      <c r="H98" s="50"/>
      <c r="I98" s="50"/>
      <c r="J98" s="54"/>
      <c r="K98" s="50"/>
      <c r="L98" s="50"/>
      <c r="M98" s="54"/>
      <c r="N98" s="50"/>
      <c r="O98" s="50"/>
    </row>
    <row r="99" spans="1:15">
      <c r="A99" s="45"/>
      <c r="B99" s="45"/>
      <c r="C99" s="46"/>
      <c r="D99" s="47"/>
      <c r="E99" s="46">
        <f t="shared" si="3"/>
        <v>0</v>
      </c>
      <c r="F99" s="45"/>
      <c r="G99" s="48"/>
      <c r="H99" s="45"/>
      <c r="I99" s="45"/>
      <c r="J99" s="49"/>
      <c r="K99" s="45"/>
      <c r="L99" s="45"/>
      <c r="M99" s="49"/>
      <c r="N99" s="45"/>
      <c r="O99" s="45"/>
    </row>
    <row r="100" spans="1:15">
      <c r="A100" s="50"/>
      <c r="B100" s="50"/>
      <c r="C100" s="51"/>
      <c r="D100" s="52"/>
      <c r="E100" s="46">
        <f t="shared" si="3"/>
        <v>0</v>
      </c>
      <c r="F100" s="50"/>
      <c r="G100" s="53"/>
      <c r="H100" s="50"/>
      <c r="I100" s="50"/>
      <c r="J100" s="54"/>
      <c r="K100" s="50"/>
      <c r="L100" s="50"/>
      <c r="M100" s="54"/>
      <c r="N100" s="50"/>
      <c r="O100" s="50"/>
    </row>
    <row r="101" spans="1:15">
      <c r="A101" s="45"/>
      <c r="B101" s="45"/>
      <c r="C101" s="46"/>
      <c r="D101" s="47"/>
      <c r="E101" s="46">
        <f t="shared" si="3"/>
        <v>0</v>
      </c>
      <c r="F101" s="45"/>
      <c r="G101" s="48"/>
      <c r="H101" s="45"/>
      <c r="I101" s="45"/>
      <c r="J101" s="49"/>
      <c r="K101" s="45"/>
      <c r="L101" s="45"/>
      <c r="M101" s="49"/>
      <c r="N101" s="45"/>
      <c r="O101" s="45"/>
    </row>
    <row r="102" spans="1:15">
      <c r="A102" s="50"/>
      <c r="B102" s="50"/>
      <c r="C102" s="51"/>
      <c r="D102" s="52"/>
      <c r="E102" s="46">
        <f t="shared" si="3"/>
        <v>0</v>
      </c>
      <c r="F102" s="50"/>
      <c r="G102" s="53"/>
      <c r="H102" s="50"/>
      <c r="I102" s="50"/>
      <c r="J102" s="54"/>
      <c r="K102" s="50"/>
      <c r="L102" s="50"/>
      <c r="M102" s="54"/>
      <c r="N102" s="50"/>
      <c r="O102" s="50"/>
    </row>
    <row r="103" spans="1:15">
      <c r="A103" s="45"/>
      <c r="B103" s="45"/>
      <c r="C103" s="46"/>
      <c r="D103" s="47"/>
      <c r="E103" s="46">
        <f t="shared" si="3"/>
        <v>0</v>
      </c>
      <c r="F103" s="45"/>
      <c r="G103" s="48"/>
      <c r="H103" s="45"/>
      <c r="I103" s="45"/>
      <c r="J103" s="49"/>
      <c r="K103" s="45"/>
      <c r="L103" s="45"/>
      <c r="M103" s="49"/>
      <c r="N103" s="45"/>
      <c r="O103" s="45"/>
    </row>
    <row r="104" spans="1:15">
      <c r="A104" s="50"/>
      <c r="B104" s="50"/>
      <c r="C104" s="51"/>
      <c r="D104" s="52"/>
      <c r="E104" s="46">
        <f t="shared" si="3"/>
        <v>0</v>
      </c>
      <c r="F104" s="50"/>
      <c r="G104" s="53"/>
      <c r="H104" s="50"/>
      <c r="I104" s="50"/>
      <c r="J104" s="54"/>
      <c r="K104" s="50"/>
      <c r="L104" s="50"/>
      <c r="M104" s="54"/>
      <c r="N104" s="50"/>
      <c r="O104" s="50"/>
    </row>
    <row r="105" spans="1:15">
      <c r="A105" s="45"/>
      <c r="B105" s="45"/>
      <c r="C105" s="46"/>
      <c r="D105" s="47"/>
      <c r="E105" s="46">
        <f t="shared" si="3"/>
        <v>0</v>
      </c>
      <c r="F105" s="45"/>
      <c r="G105" s="48"/>
      <c r="H105" s="45"/>
      <c r="I105" s="45"/>
      <c r="J105" s="49"/>
      <c r="K105" s="45"/>
      <c r="L105" s="45"/>
      <c r="M105" s="49"/>
      <c r="N105" s="45"/>
      <c r="O105" s="45"/>
    </row>
    <row r="106" spans="1:15">
      <c r="A106" s="50"/>
      <c r="B106" s="50"/>
      <c r="C106" s="51"/>
      <c r="D106" s="52"/>
      <c r="E106" s="46">
        <f t="shared" si="3"/>
        <v>0</v>
      </c>
      <c r="F106" s="50"/>
      <c r="G106" s="53"/>
      <c r="H106" s="50"/>
      <c r="I106" s="50"/>
      <c r="J106" s="54"/>
      <c r="K106" s="50"/>
      <c r="L106" s="50"/>
      <c r="M106" s="54"/>
      <c r="N106" s="50"/>
      <c r="O106" s="50"/>
    </row>
    <row r="107" spans="1:15">
      <c r="A107" s="45"/>
      <c r="B107" s="45"/>
      <c r="C107" s="46"/>
      <c r="D107" s="47"/>
      <c r="E107" s="46">
        <f t="shared" si="3"/>
        <v>0</v>
      </c>
      <c r="F107" s="45"/>
      <c r="G107" s="48"/>
      <c r="H107" s="45"/>
      <c r="I107" s="45"/>
      <c r="J107" s="49"/>
      <c r="K107" s="45"/>
      <c r="L107" s="45"/>
      <c r="M107" s="49"/>
      <c r="N107" s="45"/>
      <c r="O107" s="45"/>
    </row>
    <row r="108" spans="1:15">
      <c r="A108" s="50"/>
      <c r="B108" s="50"/>
      <c r="C108" s="51"/>
      <c r="D108" s="52"/>
      <c r="E108" s="46">
        <f t="shared" si="3"/>
        <v>0</v>
      </c>
      <c r="F108" s="50"/>
      <c r="G108" s="53"/>
      <c r="H108" s="50"/>
      <c r="I108" s="50"/>
      <c r="J108" s="54"/>
      <c r="K108" s="50"/>
      <c r="L108" s="50"/>
      <c r="M108" s="54"/>
      <c r="N108" s="50"/>
      <c r="O108" s="50"/>
    </row>
    <row r="109" spans="1:15">
      <c r="A109" s="45"/>
      <c r="B109" s="45"/>
      <c r="C109" s="46"/>
      <c r="D109" s="47"/>
      <c r="E109" s="46">
        <f t="shared" si="3"/>
        <v>0</v>
      </c>
      <c r="F109" s="45"/>
      <c r="G109" s="48"/>
      <c r="H109" s="45"/>
      <c r="I109" s="45"/>
      <c r="J109" s="49"/>
      <c r="K109" s="45"/>
      <c r="L109" s="45"/>
      <c r="M109" s="49"/>
      <c r="N109" s="45"/>
      <c r="O109" s="45"/>
    </row>
    <row r="110" spans="1:15">
      <c r="A110" s="50"/>
      <c r="B110" s="50"/>
      <c r="C110" s="51"/>
      <c r="D110" s="52"/>
      <c r="E110" s="46">
        <f t="shared" si="3"/>
        <v>0</v>
      </c>
      <c r="F110" s="50"/>
      <c r="G110" s="53"/>
      <c r="H110" s="50"/>
      <c r="I110" s="50"/>
      <c r="J110" s="54"/>
      <c r="K110" s="50"/>
      <c r="L110" s="50"/>
      <c r="M110" s="54"/>
      <c r="N110" s="50"/>
      <c r="O110" s="50"/>
    </row>
    <row r="111" spans="1:15">
      <c r="A111" s="45"/>
      <c r="B111" s="45"/>
      <c r="C111" s="46"/>
      <c r="D111" s="47"/>
      <c r="E111" s="46">
        <f t="shared" si="3"/>
        <v>0</v>
      </c>
      <c r="F111" s="45"/>
      <c r="G111" s="48"/>
      <c r="H111" s="45"/>
      <c r="I111" s="45"/>
      <c r="J111" s="49"/>
      <c r="K111" s="45"/>
      <c r="L111" s="45"/>
      <c r="M111" s="49"/>
      <c r="N111" s="45"/>
      <c r="O111" s="45"/>
    </row>
    <row r="112" spans="1:15">
      <c r="A112" s="50"/>
      <c r="B112" s="50"/>
      <c r="C112" s="51"/>
      <c r="D112" s="52"/>
      <c r="E112" s="46">
        <f t="shared" si="3"/>
        <v>0</v>
      </c>
      <c r="F112" s="50"/>
      <c r="G112" s="53"/>
      <c r="H112" s="50"/>
      <c r="I112" s="50"/>
      <c r="J112" s="54"/>
      <c r="K112" s="50"/>
      <c r="L112" s="50"/>
      <c r="M112" s="54"/>
      <c r="N112" s="50"/>
      <c r="O112" s="50"/>
    </row>
    <row r="113" spans="1:15">
      <c r="A113" s="45"/>
      <c r="B113" s="45"/>
      <c r="C113" s="46"/>
      <c r="D113" s="47"/>
      <c r="E113" s="46">
        <f t="shared" si="3"/>
        <v>0</v>
      </c>
      <c r="F113" s="45"/>
      <c r="G113" s="48"/>
      <c r="H113" s="45"/>
      <c r="I113" s="45"/>
      <c r="J113" s="49"/>
      <c r="K113" s="45"/>
      <c r="L113" s="45"/>
      <c r="M113" s="49"/>
      <c r="N113" s="45"/>
      <c r="O113" s="45"/>
    </row>
    <row r="114" spans="1:15">
      <c r="A114" s="50"/>
      <c r="B114" s="50"/>
      <c r="C114" s="51"/>
      <c r="D114" s="52"/>
      <c r="E114" s="46">
        <f t="shared" si="3"/>
        <v>0</v>
      </c>
      <c r="F114" s="50"/>
      <c r="G114" s="53"/>
      <c r="H114" s="50"/>
      <c r="I114" s="50"/>
      <c r="J114" s="54"/>
      <c r="K114" s="50"/>
      <c r="L114" s="50"/>
      <c r="M114" s="54"/>
      <c r="N114" s="50"/>
      <c r="O114" s="50"/>
    </row>
    <row r="115" spans="1:15">
      <c r="A115" s="45"/>
      <c r="B115" s="45"/>
      <c r="C115" s="46"/>
      <c r="D115" s="47"/>
      <c r="E115" s="46">
        <f t="shared" ref="E115:E178" si="4">D115*C115</f>
        <v>0</v>
      </c>
      <c r="F115" s="45"/>
      <c r="G115" s="48"/>
      <c r="H115" s="45"/>
      <c r="I115" s="45"/>
      <c r="J115" s="49"/>
      <c r="K115" s="45"/>
      <c r="L115" s="45"/>
      <c r="M115" s="49"/>
      <c r="N115" s="45"/>
      <c r="O115" s="45"/>
    </row>
    <row r="116" spans="1:15">
      <c r="A116" s="50"/>
      <c r="B116" s="50"/>
      <c r="C116" s="51"/>
      <c r="D116" s="52"/>
      <c r="E116" s="46">
        <f t="shared" si="4"/>
        <v>0</v>
      </c>
      <c r="F116" s="50"/>
      <c r="G116" s="53"/>
      <c r="H116" s="50"/>
      <c r="I116" s="50"/>
      <c r="J116" s="54"/>
      <c r="K116" s="50"/>
      <c r="L116" s="50"/>
      <c r="M116" s="54"/>
      <c r="N116" s="50"/>
      <c r="O116" s="50"/>
    </row>
    <row r="117" spans="1:15">
      <c r="A117" s="45"/>
      <c r="B117" s="45"/>
      <c r="C117" s="46"/>
      <c r="D117" s="47"/>
      <c r="E117" s="46">
        <f t="shared" si="4"/>
        <v>0</v>
      </c>
      <c r="F117" s="45"/>
      <c r="G117" s="48"/>
      <c r="H117" s="45"/>
      <c r="I117" s="45"/>
      <c r="J117" s="49"/>
      <c r="K117" s="45"/>
      <c r="L117" s="45"/>
      <c r="M117" s="49"/>
      <c r="N117" s="45"/>
      <c r="O117" s="45"/>
    </row>
    <row r="118" spans="1:15">
      <c r="A118" s="50"/>
      <c r="B118" s="50"/>
      <c r="C118" s="51"/>
      <c r="D118" s="52"/>
      <c r="E118" s="46">
        <f t="shared" si="4"/>
        <v>0</v>
      </c>
      <c r="F118" s="50"/>
      <c r="G118" s="53"/>
      <c r="H118" s="50"/>
      <c r="I118" s="50"/>
      <c r="J118" s="54"/>
      <c r="K118" s="50"/>
      <c r="L118" s="50"/>
      <c r="M118" s="54"/>
      <c r="N118" s="50"/>
      <c r="O118" s="50"/>
    </row>
    <row r="119" spans="1:15">
      <c r="A119" s="45"/>
      <c r="B119" s="45"/>
      <c r="C119" s="46"/>
      <c r="D119" s="47"/>
      <c r="E119" s="46">
        <f t="shared" si="4"/>
        <v>0</v>
      </c>
      <c r="F119" s="45"/>
      <c r="G119" s="48"/>
      <c r="H119" s="45"/>
      <c r="I119" s="45"/>
      <c r="J119" s="49"/>
      <c r="K119" s="45"/>
      <c r="L119" s="45"/>
      <c r="M119" s="49"/>
      <c r="N119" s="45"/>
      <c r="O119" s="45"/>
    </row>
    <row r="120" spans="1:15">
      <c r="A120" s="50"/>
      <c r="B120" s="50"/>
      <c r="C120" s="51"/>
      <c r="D120" s="52"/>
      <c r="E120" s="46">
        <f t="shared" si="4"/>
        <v>0</v>
      </c>
      <c r="F120" s="50"/>
      <c r="G120" s="53"/>
      <c r="H120" s="50"/>
      <c r="I120" s="50"/>
      <c r="J120" s="54"/>
      <c r="K120" s="50"/>
      <c r="L120" s="50"/>
      <c r="M120" s="54"/>
      <c r="N120" s="50"/>
      <c r="O120" s="50"/>
    </row>
    <row r="121" spans="1:15">
      <c r="A121" s="45"/>
      <c r="B121" s="45"/>
      <c r="C121" s="46"/>
      <c r="D121" s="47"/>
      <c r="E121" s="46">
        <f t="shared" si="4"/>
        <v>0</v>
      </c>
      <c r="F121" s="45"/>
      <c r="G121" s="48"/>
      <c r="H121" s="45"/>
      <c r="I121" s="45"/>
      <c r="J121" s="49"/>
      <c r="K121" s="45"/>
      <c r="L121" s="45"/>
      <c r="M121" s="49"/>
      <c r="N121" s="45"/>
      <c r="O121" s="45"/>
    </row>
    <row r="122" spans="1:15">
      <c r="A122" s="50"/>
      <c r="B122" s="50"/>
      <c r="C122" s="51"/>
      <c r="D122" s="52"/>
      <c r="E122" s="46">
        <f t="shared" si="4"/>
        <v>0</v>
      </c>
      <c r="F122" s="50"/>
      <c r="G122" s="53"/>
      <c r="H122" s="50"/>
      <c r="I122" s="50"/>
      <c r="J122" s="54"/>
      <c r="K122" s="50"/>
      <c r="L122" s="50"/>
      <c r="M122" s="54"/>
      <c r="N122" s="50"/>
      <c r="O122" s="50"/>
    </row>
    <row r="123" spans="1:15">
      <c r="A123" s="45"/>
      <c r="B123" s="45"/>
      <c r="C123" s="46"/>
      <c r="D123" s="47"/>
      <c r="E123" s="46">
        <f t="shared" si="4"/>
        <v>0</v>
      </c>
      <c r="F123" s="45"/>
      <c r="G123" s="48"/>
      <c r="H123" s="45"/>
      <c r="I123" s="45"/>
      <c r="J123" s="49"/>
      <c r="K123" s="45"/>
      <c r="L123" s="45"/>
      <c r="M123" s="49"/>
      <c r="N123" s="45"/>
      <c r="O123" s="45"/>
    </row>
    <row r="124" spans="1:15">
      <c r="A124" s="50"/>
      <c r="B124" s="50"/>
      <c r="C124" s="51"/>
      <c r="D124" s="52"/>
      <c r="E124" s="46">
        <f t="shared" si="4"/>
        <v>0</v>
      </c>
      <c r="F124" s="50"/>
      <c r="G124" s="53"/>
      <c r="H124" s="50"/>
      <c r="I124" s="50"/>
      <c r="J124" s="54"/>
      <c r="K124" s="50"/>
      <c r="L124" s="50"/>
      <c r="M124" s="54"/>
      <c r="N124" s="50"/>
      <c r="O124" s="50"/>
    </row>
    <row r="125" spans="1:15">
      <c r="A125" s="45"/>
      <c r="B125" s="45"/>
      <c r="C125" s="46"/>
      <c r="D125" s="47"/>
      <c r="E125" s="46">
        <f t="shared" si="4"/>
        <v>0</v>
      </c>
      <c r="F125" s="45"/>
      <c r="G125" s="48"/>
      <c r="H125" s="45"/>
      <c r="I125" s="45"/>
      <c r="J125" s="49"/>
      <c r="K125" s="45"/>
      <c r="L125" s="45"/>
      <c r="M125" s="49"/>
      <c r="N125" s="45"/>
      <c r="O125" s="45"/>
    </row>
    <row r="126" spans="1:15">
      <c r="A126" s="50"/>
      <c r="B126" s="50"/>
      <c r="C126" s="51"/>
      <c r="D126" s="52"/>
      <c r="E126" s="46">
        <f t="shared" si="4"/>
        <v>0</v>
      </c>
      <c r="F126" s="50"/>
      <c r="G126" s="53"/>
      <c r="H126" s="50"/>
      <c r="I126" s="50"/>
      <c r="J126" s="54"/>
      <c r="K126" s="50"/>
      <c r="L126" s="50"/>
      <c r="M126" s="54"/>
      <c r="N126" s="50"/>
      <c r="O126" s="50"/>
    </row>
    <row r="127" spans="1:15">
      <c r="A127" s="45"/>
      <c r="B127" s="45"/>
      <c r="C127" s="46"/>
      <c r="D127" s="47"/>
      <c r="E127" s="46">
        <f t="shared" si="4"/>
        <v>0</v>
      </c>
      <c r="F127" s="45"/>
      <c r="G127" s="48"/>
      <c r="H127" s="45"/>
      <c r="I127" s="45"/>
      <c r="J127" s="49"/>
      <c r="K127" s="45"/>
      <c r="L127" s="45"/>
      <c r="M127" s="49"/>
      <c r="N127" s="45"/>
      <c r="O127" s="45"/>
    </row>
    <row r="128" spans="1:15">
      <c r="A128" s="50"/>
      <c r="B128" s="50"/>
      <c r="C128" s="51"/>
      <c r="D128" s="52"/>
      <c r="E128" s="46">
        <f t="shared" si="4"/>
        <v>0</v>
      </c>
      <c r="F128" s="50"/>
      <c r="G128" s="53"/>
      <c r="H128" s="50"/>
      <c r="I128" s="50"/>
      <c r="J128" s="54"/>
      <c r="K128" s="50"/>
      <c r="L128" s="50"/>
      <c r="M128" s="54"/>
      <c r="N128" s="50"/>
      <c r="O128" s="50"/>
    </row>
    <row r="129" spans="1:15">
      <c r="A129" s="45"/>
      <c r="B129" s="45"/>
      <c r="C129" s="46"/>
      <c r="D129" s="47"/>
      <c r="E129" s="46">
        <f t="shared" si="4"/>
        <v>0</v>
      </c>
      <c r="F129" s="45"/>
      <c r="G129" s="48"/>
      <c r="H129" s="45"/>
      <c r="I129" s="45"/>
      <c r="J129" s="49"/>
      <c r="K129" s="45"/>
      <c r="L129" s="45"/>
      <c r="M129" s="49"/>
      <c r="N129" s="45"/>
      <c r="O129" s="45"/>
    </row>
    <row r="130" spans="1:15">
      <c r="A130" s="50"/>
      <c r="B130" s="50"/>
      <c r="C130" s="51"/>
      <c r="D130" s="52"/>
      <c r="E130" s="46">
        <f t="shared" si="4"/>
        <v>0</v>
      </c>
      <c r="F130" s="50"/>
      <c r="G130" s="53"/>
      <c r="H130" s="50"/>
      <c r="I130" s="50"/>
      <c r="J130" s="54"/>
      <c r="K130" s="50"/>
      <c r="L130" s="50"/>
      <c r="M130" s="54"/>
      <c r="N130" s="50"/>
      <c r="O130" s="50"/>
    </row>
    <row r="131" spans="1:15">
      <c r="A131" s="45"/>
      <c r="B131" s="45"/>
      <c r="C131" s="46"/>
      <c r="D131" s="47"/>
      <c r="E131" s="46">
        <f t="shared" si="4"/>
        <v>0</v>
      </c>
      <c r="F131" s="45"/>
      <c r="G131" s="48"/>
      <c r="H131" s="45"/>
      <c r="I131" s="45"/>
      <c r="J131" s="49"/>
      <c r="K131" s="45"/>
      <c r="L131" s="45"/>
      <c r="M131" s="49"/>
      <c r="N131" s="45"/>
      <c r="O131" s="45"/>
    </row>
    <row r="132" spans="1:15">
      <c r="A132" s="50"/>
      <c r="B132" s="50"/>
      <c r="C132" s="51"/>
      <c r="D132" s="52"/>
      <c r="E132" s="46">
        <f t="shared" si="4"/>
        <v>0</v>
      </c>
      <c r="F132" s="50"/>
      <c r="G132" s="53"/>
      <c r="H132" s="50"/>
      <c r="I132" s="50"/>
      <c r="J132" s="54"/>
      <c r="K132" s="50"/>
      <c r="L132" s="50"/>
      <c r="M132" s="54"/>
      <c r="N132" s="50"/>
      <c r="O132" s="50"/>
    </row>
    <row r="133" spans="1:15">
      <c r="A133" s="45"/>
      <c r="B133" s="45"/>
      <c r="C133" s="46"/>
      <c r="D133" s="47"/>
      <c r="E133" s="46">
        <f t="shared" si="4"/>
        <v>0</v>
      </c>
      <c r="F133" s="45"/>
      <c r="G133" s="48"/>
      <c r="H133" s="45"/>
      <c r="I133" s="45"/>
      <c r="J133" s="49"/>
      <c r="K133" s="45"/>
      <c r="L133" s="45"/>
      <c r="M133" s="49"/>
      <c r="N133" s="45"/>
      <c r="O133" s="45"/>
    </row>
    <row r="134" spans="1:15">
      <c r="A134" s="50"/>
      <c r="B134" s="50"/>
      <c r="C134" s="51"/>
      <c r="D134" s="52"/>
      <c r="E134" s="46">
        <f t="shared" si="4"/>
        <v>0</v>
      </c>
      <c r="F134" s="50"/>
      <c r="G134" s="53"/>
      <c r="H134" s="50"/>
      <c r="I134" s="50"/>
      <c r="J134" s="54"/>
      <c r="K134" s="50"/>
      <c r="L134" s="50"/>
      <c r="M134" s="54"/>
      <c r="N134" s="50"/>
      <c r="O134" s="50"/>
    </row>
    <row r="135" spans="1:15">
      <c r="A135" s="45"/>
      <c r="B135" s="45"/>
      <c r="C135" s="46"/>
      <c r="D135" s="47"/>
      <c r="E135" s="46">
        <f t="shared" si="4"/>
        <v>0</v>
      </c>
      <c r="F135" s="45"/>
      <c r="G135" s="48"/>
      <c r="H135" s="45"/>
      <c r="I135" s="45"/>
      <c r="J135" s="49"/>
      <c r="K135" s="45"/>
      <c r="L135" s="45"/>
      <c r="M135" s="49"/>
      <c r="N135" s="45"/>
      <c r="O135" s="45"/>
    </row>
    <row r="136" spans="1:15">
      <c r="A136" s="50"/>
      <c r="B136" s="50"/>
      <c r="C136" s="51"/>
      <c r="D136" s="52"/>
      <c r="E136" s="46">
        <f t="shared" si="4"/>
        <v>0</v>
      </c>
      <c r="F136" s="50"/>
      <c r="G136" s="53"/>
      <c r="H136" s="50"/>
      <c r="I136" s="50"/>
      <c r="J136" s="54"/>
      <c r="K136" s="50"/>
      <c r="L136" s="50"/>
      <c r="M136" s="54"/>
      <c r="N136" s="50"/>
      <c r="O136" s="50"/>
    </row>
    <row r="137" spans="1:15">
      <c r="A137" s="45"/>
      <c r="B137" s="45"/>
      <c r="C137" s="46"/>
      <c r="D137" s="47"/>
      <c r="E137" s="46">
        <f t="shared" si="4"/>
        <v>0</v>
      </c>
      <c r="F137" s="45"/>
      <c r="G137" s="48"/>
      <c r="H137" s="45"/>
      <c r="I137" s="45"/>
      <c r="J137" s="49"/>
      <c r="K137" s="45"/>
      <c r="L137" s="45"/>
      <c r="M137" s="49"/>
      <c r="N137" s="45"/>
      <c r="O137" s="45"/>
    </row>
    <row r="138" spans="1:15">
      <c r="A138" s="50"/>
      <c r="B138" s="50"/>
      <c r="C138" s="51"/>
      <c r="D138" s="52"/>
      <c r="E138" s="46">
        <f t="shared" si="4"/>
        <v>0</v>
      </c>
      <c r="F138" s="50"/>
      <c r="G138" s="53"/>
      <c r="H138" s="50"/>
      <c r="I138" s="50"/>
      <c r="J138" s="54"/>
      <c r="K138" s="50"/>
      <c r="L138" s="50"/>
      <c r="M138" s="54"/>
      <c r="N138" s="50"/>
      <c r="O138" s="50"/>
    </row>
    <row r="139" spans="1:15">
      <c r="A139" s="45"/>
      <c r="B139" s="45"/>
      <c r="C139" s="46"/>
      <c r="D139" s="47"/>
      <c r="E139" s="46">
        <f t="shared" si="4"/>
        <v>0</v>
      </c>
      <c r="F139" s="45"/>
      <c r="G139" s="48"/>
      <c r="H139" s="45"/>
      <c r="I139" s="45"/>
      <c r="J139" s="49"/>
      <c r="K139" s="45"/>
      <c r="L139" s="45"/>
      <c r="M139" s="49"/>
      <c r="N139" s="45"/>
      <c r="O139" s="45"/>
    </row>
    <row r="140" spans="1:15">
      <c r="A140" s="50"/>
      <c r="B140" s="50"/>
      <c r="C140" s="51"/>
      <c r="D140" s="52"/>
      <c r="E140" s="46">
        <f t="shared" si="4"/>
        <v>0</v>
      </c>
      <c r="F140" s="50"/>
      <c r="G140" s="53"/>
      <c r="H140" s="50"/>
      <c r="I140" s="50"/>
      <c r="J140" s="54"/>
      <c r="K140" s="50"/>
      <c r="L140" s="50"/>
      <c r="M140" s="54"/>
      <c r="N140" s="50"/>
      <c r="O140" s="50"/>
    </row>
    <row r="141" spans="1:15">
      <c r="A141" s="45"/>
      <c r="B141" s="45"/>
      <c r="C141" s="46"/>
      <c r="D141" s="47"/>
      <c r="E141" s="46">
        <f t="shared" si="4"/>
        <v>0</v>
      </c>
      <c r="F141" s="45"/>
      <c r="G141" s="48"/>
      <c r="H141" s="45"/>
      <c r="I141" s="45"/>
      <c r="J141" s="49"/>
      <c r="K141" s="45"/>
      <c r="L141" s="45"/>
      <c r="M141" s="49"/>
      <c r="N141" s="45"/>
      <c r="O141" s="45"/>
    </row>
    <row r="142" spans="1:15">
      <c r="A142" s="50"/>
      <c r="B142" s="50"/>
      <c r="C142" s="51"/>
      <c r="D142" s="52"/>
      <c r="E142" s="46">
        <f t="shared" si="4"/>
        <v>0</v>
      </c>
      <c r="F142" s="50"/>
      <c r="G142" s="53"/>
      <c r="H142" s="50"/>
      <c r="I142" s="50"/>
      <c r="J142" s="54"/>
      <c r="K142" s="50"/>
      <c r="L142" s="50"/>
      <c r="M142" s="54"/>
      <c r="N142" s="50"/>
      <c r="O142" s="50"/>
    </row>
    <row r="143" spans="1:15">
      <c r="A143" s="45"/>
      <c r="B143" s="45"/>
      <c r="C143" s="46"/>
      <c r="D143" s="47"/>
      <c r="E143" s="46">
        <f t="shared" si="4"/>
        <v>0</v>
      </c>
      <c r="F143" s="45"/>
      <c r="G143" s="48"/>
      <c r="H143" s="45"/>
      <c r="I143" s="45"/>
      <c r="J143" s="49"/>
      <c r="K143" s="45"/>
      <c r="L143" s="45"/>
      <c r="M143" s="49"/>
      <c r="N143" s="45"/>
      <c r="O143" s="45"/>
    </row>
    <row r="144" spans="1:15">
      <c r="A144" s="50"/>
      <c r="B144" s="50"/>
      <c r="C144" s="51"/>
      <c r="D144" s="52"/>
      <c r="E144" s="46">
        <f t="shared" si="4"/>
        <v>0</v>
      </c>
      <c r="F144" s="50"/>
      <c r="G144" s="53"/>
      <c r="H144" s="50"/>
      <c r="I144" s="50"/>
      <c r="J144" s="54"/>
      <c r="K144" s="50"/>
      <c r="L144" s="50"/>
      <c r="M144" s="54"/>
      <c r="N144" s="50"/>
      <c r="O144" s="50"/>
    </row>
    <row r="145" spans="1:15">
      <c r="A145" s="45"/>
      <c r="B145" s="45"/>
      <c r="C145" s="46"/>
      <c r="D145" s="47"/>
      <c r="E145" s="46">
        <f t="shared" si="4"/>
        <v>0</v>
      </c>
      <c r="F145" s="45"/>
      <c r="G145" s="48"/>
      <c r="H145" s="45"/>
      <c r="I145" s="45"/>
      <c r="J145" s="49"/>
      <c r="K145" s="45"/>
      <c r="L145" s="45"/>
      <c r="M145" s="49"/>
      <c r="N145" s="45"/>
      <c r="O145" s="45"/>
    </row>
    <row r="146" spans="1:15">
      <c r="A146" s="50"/>
      <c r="B146" s="50"/>
      <c r="C146" s="51"/>
      <c r="D146" s="52"/>
      <c r="E146" s="46">
        <f t="shared" si="4"/>
        <v>0</v>
      </c>
      <c r="F146" s="50"/>
      <c r="G146" s="53"/>
      <c r="H146" s="50"/>
      <c r="I146" s="50"/>
      <c r="J146" s="54"/>
      <c r="K146" s="50"/>
      <c r="L146" s="50"/>
      <c r="M146" s="54"/>
      <c r="N146" s="50"/>
      <c r="O146" s="50"/>
    </row>
    <row r="147" spans="1:15">
      <c r="A147" s="45"/>
      <c r="B147" s="45"/>
      <c r="C147" s="46"/>
      <c r="D147" s="47"/>
      <c r="E147" s="46">
        <f t="shared" si="4"/>
        <v>0</v>
      </c>
      <c r="F147" s="45"/>
      <c r="G147" s="48"/>
      <c r="H147" s="45"/>
      <c r="I147" s="45"/>
      <c r="J147" s="49"/>
      <c r="K147" s="45"/>
      <c r="L147" s="45"/>
      <c r="M147" s="49"/>
      <c r="N147" s="45"/>
      <c r="O147" s="45"/>
    </row>
    <row r="148" spans="1:15">
      <c r="A148" s="50"/>
      <c r="B148" s="50"/>
      <c r="C148" s="51"/>
      <c r="D148" s="52"/>
      <c r="E148" s="46">
        <f t="shared" si="4"/>
        <v>0</v>
      </c>
      <c r="F148" s="50"/>
      <c r="G148" s="53"/>
      <c r="H148" s="50"/>
      <c r="I148" s="50"/>
      <c r="J148" s="54"/>
      <c r="K148" s="50"/>
      <c r="L148" s="50"/>
      <c r="M148" s="54"/>
      <c r="N148" s="50"/>
      <c r="O148" s="50"/>
    </row>
    <row r="149" spans="1:15">
      <c r="A149" s="45"/>
      <c r="B149" s="45"/>
      <c r="C149" s="46"/>
      <c r="D149" s="47"/>
      <c r="E149" s="46">
        <f t="shared" si="4"/>
        <v>0</v>
      </c>
      <c r="F149" s="45"/>
      <c r="G149" s="48"/>
      <c r="H149" s="45"/>
      <c r="I149" s="45"/>
      <c r="J149" s="49"/>
      <c r="K149" s="45"/>
      <c r="L149" s="45"/>
      <c r="M149" s="49"/>
      <c r="N149" s="45"/>
      <c r="O149" s="45"/>
    </row>
    <row r="150" spans="1:15">
      <c r="A150" s="50"/>
      <c r="B150" s="50"/>
      <c r="C150" s="51"/>
      <c r="D150" s="52"/>
      <c r="E150" s="46">
        <f t="shared" si="4"/>
        <v>0</v>
      </c>
      <c r="F150" s="50"/>
      <c r="G150" s="53"/>
      <c r="H150" s="50"/>
      <c r="I150" s="50"/>
      <c r="J150" s="54"/>
      <c r="K150" s="50"/>
      <c r="L150" s="50"/>
      <c r="M150" s="54"/>
      <c r="N150" s="50"/>
      <c r="O150" s="50"/>
    </row>
    <row r="151" spans="1:15">
      <c r="A151" s="45"/>
      <c r="B151" s="45"/>
      <c r="C151" s="46"/>
      <c r="D151" s="47"/>
      <c r="E151" s="46">
        <f t="shared" si="4"/>
        <v>0</v>
      </c>
      <c r="F151" s="45"/>
      <c r="G151" s="48"/>
      <c r="H151" s="45"/>
      <c r="I151" s="45"/>
      <c r="J151" s="49"/>
      <c r="K151" s="45"/>
      <c r="L151" s="45"/>
      <c r="M151" s="49"/>
      <c r="N151" s="45"/>
      <c r="O151" s="45"/>
    </row>
    <row r="152" spans="1:15">
      <c r="A152" s="50"/>
      <c r="B152" s="50"/>
      <c r="C152" s="51"/>
      <c r="D152" s="52"/>
      <c r="E152" s="46">
        <f t="shared" si="4"/>
        <v>0</v>
      </c>
      <c r="F152" s="50"/>
      <c r="G152" s="53"/>
      <c r="H152" s="50"/>
      <c r="I152" s="50"/>
      <c r="J152" s="54"/>
      <c r="K152" s="50"/>
      <c r="L152" s="50"/>
      <c r="M152" s="54"/>
      <c r="N152" s="50"/>
      <c r="O152" s="50"/>
    </row>
    <row r="153" spans="1:15">
      <c r="A153" s="45"/>
      <c r="B153" s="45"/>
      <c r="C153" s="46"/>
      <c r="D153" s="47"/>
      <c r="E153" s="46">
        <f t="shared" si="4"/>
        <v>0</v>
      </c>
      <c r="F153" s="45"/>
      <c r="G153" s="48"/>
      <c r="H153" s="45"/>
      <c r="I153" s="45"/>
      <c r="J153" s="49"/>
      <c r="K153" s="45"/>
      <c r="L153" s="45"/>
      <c r="M153" s="49"/>
      <c r="N153" s="45"/>
      <c r="O153" s="45"/>
    </row>
    <row r="154" spans="1:15">
      <c r="A154" s="50"/>
      <c r="B154" s="50"/>
      <c r="C154" s="51"/>
      <c r="D154" s="52"/>
      <c r="E154" s="46">
        <f t="shared" si="4"/>
        <v>0</v>
      </c>
      <c r="F154" s="50"/>
      <c r="G154" s="53"/>
      <c r="H154" s="50"/>
      <c r="I154" s="50"/>
      <c r="J154" s="54"/>
      <c r="K154" s="50"/>
      <c r="L154" s="50"/>
      <c r="M154" s="54"/>
      <c r="N154" s="50"/>
      <c r="O154" s="50"/>
    </row>
    <row r="155" spans="1:15">
      <c r="A155" s="45"/>
      <c r="B155" s="45"/>
      <c r="C155" s="46"/>
      <c r="D155" s="47"/>
      <c r="E155" s="46">
        <f t="shared" si="4"/>
        <v>0</v>
      </c>
      <c r="F155" s="45"/>
      <c r="G155" s="48"/>
      <c r="H155" s="45"/>
      <c r="I155" s="45"/>
      <c r="J155" s="49"/>
      <c r="K155" s="45"/>
      <c r="L155" s="45"/>
      <c r="M155" s="49"/>
      <c r="N155" s="45"/>
      <c r="O155" s="45"/>
    </row>
    <row r="156" spans="1:15">
      <c r="A156" s="50"/>
      <c r="B156" s="50"/>
      <c r="C156" s="51"/>
      <c r="D156" s="52"/>
      <c r="E156" s="46">
        <f t="shared" si="4"/>
        <v>0</v>
      </c>
      <c r="F156" s="50"/>
      <c r="G156" s="53"/>
      <c r="H156" s="50"/>
      <c r="I156" s="50"/>
      <c r="J156" s="54"/>
      <c r="K156" s="50"/>
      <c r="L156" s="50"/>
      <c r="M156" s="54"/>
      <c r="N156" s="50"/>
      <c r="O156" s="50"/>
    </row>
    <row r="157" spans="1:15">
      <c r="A157" s="45"/>
      <c r="B157" s="45"/>
      <c r="C157" s="46"/>
      <c r="D157" s="47"/>
      <c r="E157" s="46">
        <f t="shared" si="4"/>
        <v>0</v>
      </c>
      <c r="F157" s="45"/>
      <c r="G157" s="48"/>
      <c r="H157" s="45"/>
      <c r="I157" s="45"/>
      <c r="J157" s="49"/>
      <c r="K157" s="45"/>
      <c r="L157" s="45"/>
      <c r="M157" s="49"/>
      <c r="N157" s="45"/>
      <c r="O157" s="45"/>
    </row>
    <row r="158" spans="1:15">
      <c r="A158" s="50"/>
      <c r="B158" s="50"/>
      <c r="C158" s="51"/>
      <c r="D158" s="52"/>
      <c r="E158" s="46">
        <f t="shared" si="4"/>
        <v>0</v>
      </c>
      <c r="F158" s="50"/>
      <c r="G158" s="53"/>
      <c r="H158" s="50"/>
      <c r="I158" s="50"/>
      <c r="J158" s="54"/>
      <c r="K158" s="50"/>
      <c r="L158" s="50"/>
      <c r="M158" s="54"/>
      <c r="N158" s="50"/>
      <c r="O158" s="50"/>
    </row>
    <row r="159" spans="1:15">
      <c r="A159" s="45"/>
      <c r="B159" s="45"/>
      <c r="C159" s="46"/>
      <c r="D159" s="47"/>
      <c r="E159" s="46">
        <f t="shared" si="4"/>
        <v>0</v>
      </c>
      <c r="F159" s="45"/>
      <c r="G159" s="48"/>
      <c r="H159" s="45"/>
      <c r="I159" s="45"/>
      <c r="J159" s="49"/>
      <c r="K159" s="45"/>
      <c r="L159" s="45"/>
      <c r="M159" s="49"/>
      <c r="N159" s="45"/>
      <c r="O159" s="45"/>
    </row>
    <row r="160" spans="1:15">
      <c r="A160" s="50"/>
      <c r="B160" s="50"/>
      <c r="C160" s="51"/>
      <c r="D160" s="52"/>
      <c r="E160" s="46">
        <f t="shared" si="4"/>
        <v>0</v>
      </c>
      <c r="F160" s="50"/>
      <c r="G160" s="53"/>
      <c r="H160" s="50"/>
      <c r="I160" s="50"/>
      <c r="J160" s="54"/>
      <c r="K160" s="50"/>
      <c r="L160" s="50"/>
      <c r="M160" s="54"/>
      <c r="N160" s="50"/>
      <c r="O160" s="50"/>
    </row>
    <row r="161" spans="1:15">
      <c r="A161" s="45"/>
      <c r="B161" s="45"/>
      <c r="C161" s="46"/>
      <c r="D161" s="47"/>
      <c r="E161" s="46">
        <f t="shared" si="4"/>
        <v>0</v>
      </c>
      <c r="F161" s="45"/>
      <c r="G161" s="48"/>
      <c r="H161" s="45"/>
      <c r="I161" s="45"/>
      <c r="J161" s="49"/>
      <c r="K161" s="45"/>
      <c r="L161" s="45"/>
      <c r="M161" s="49"/>
      <c r="N161" s="45"/>
      <c r="O161" s="45"/>
    </row>
    <row r="162" spans="1:15">
      <c r="A162" s="50"/>
      <c r="B162" s="50"/>
      <c r="C162" s="51"/>
      <c r="D162" s="52"/>
      <c r="E162" s="46">
        <f t="shared" si="4"/>
        <v>0</v>
      </c>
      <c r="F162" s="50"/>
      <c r="G162" s="53"/>
      <c r="H162" s="50"/>
      <c r="I162" s="50"/>
      <c r="J162" s="54"/>
      <c r="K162" s="50"/>
      <c r="L162" s="50"/>
      <c r="M162" s="54"/>
      <c r="N162" s="50"/>
      <c r="O162" s="50"/>
    </row>
    <row r="163" spans="1:15">
      <c r="A163" s="45"/>
      <c r="B163" s="45"/>
      <c r="C163" s="46"/>
      <c r="D163" s="47"/>
      <c r="E163" s="46">
        <f t="shared" si="4"/>
        <v>0</v>
      </c>
      <c r="F163" s="45"/>
      <c r="G163" s="48"/>
      <c r="H163" s="45"/>
      <c r="I163" s="45"/>
      <c r="J163" s="49"/>
      <c r="K163" s="45"/>
      <c r="L163" s="45"/>
      <c r="M163" s="49"/>
      <c r="N163" s="45"/>
      <c r="O163" s="45"/>
    </row>
    <row r="164" spans="1:15">
      <c r="A164" s="50"/>
      <c r="B164" s="50"/>
      <c r="C164" s="51"/>
      <c r="D164" s="52"/>
      <c r="E164" s="46">
        <f t="shared" si="4"/>
        <v>0</v>
      </c>
      <c r="F164" s="50"/>
      <c r="G164" s="53"/>
      <c r="H164" s="50"/>
      <c r="I164" s="50"/>
      <c r="J164" s="54"/>
      <c r="K164" s="50"/>
      <c r="L164" s="50"/>
      <c r="M164" s="54"/>
      <c r="N164" s="50"/>
      <c r="O164" s="50"/>
    </row>
    <row r="165" spans="1:15">
      <c r="A165" s="45"/>
      <c r="B165" s="45"/>
      <c r="C165" s="46"/>
      <c r="D165" s="47"/>
      <c r="E165" s="46">
        <f t="shared" si="4"/>
        <v>0</v>
      </c>
      <c r="F165" s="45"/>
      <c r="G165" s="48"/>
      <c r="H165" s="45"/>
      <c r="I165" s="45"/>
      <c r="J165" s="49"/>
      <c r="K165" s="45"/>
      <c r="L165" s="45"/>
      <c r="M165" s="49"/>
      <c r="N165" s="45"/>
      <c r="O165" s="45"/>
    </row>
    <row r="166" spans="1:15">
      <c r="A166" s="50"/>
      <c r="B166" s="50"/>
      <c r="C166" s="51"/>
      <c r="D166" s="52"/>
      <c r="E166" s="46">
        <f t="shared" si="4"/>
        <v>0</v>
      </c>
      <c r="F166" s="50"/>
      <c r="G166" s="53"/>
      <c r="H166" s="50"/>
      <c r="I166" s="50"/>
      <c r="J166" s="54"/>
      <c r="K166" s="50"/>
      <c r="L166" s="50"/>
      <c r="M166" s="54"/>
      <c r="N166" s="50"/>
      <c r="O166" s="50"/>
    </row>
    <row r="167" spans="1:15">
      <c r="A167" s="45"/>
      <c r="B167" s="45"/>
      <c r="C167" s="46"/>
      <c r="D167" s="47"/>
      <c r="E167" s="46">
        <f t="shared" si="4"/>
        <v>0</v>
      </c>
      <c r="F167" s="45"/>
      <c r="G167" s="48"/>
      <c r="H167" s="45"/>
      <c r="I167" s="45"/>
      <c r="J167" s="49"/>
      <c r="K167" s="45"/>
      <c r="L167" s="45"/>
      <c r="M167" s="49"/>
      <c r="N167" s="45"/>
      <c r="O167" s="45"/>
    </row>
    <row r="168" spans="1:15">
      <c r="A168" s="50"/>
      <c r="B168" s="50"/>
      <c r="C168" s="51"/>
      <c r="D168" s="52"/>
      <c r="E168" s="46">
        <f t="shared" si="4"/>
        <v>0</v>
      </c>
      <c r="F168" s="50"/>
      <c r="G168" s="53"/>
      <c r="H168" s="50"/>
      <c r="I168" s="50"/>
      <c r="J168" s="54"/>
      <c r="K168" s="50"/>
      <c r="L168" s="50"/>
      <c r="M168" s="54"/>
      <c r="N168" s="50"/>
      <c r="O168" s="50"/>
    </row>
    <row r="169" spans="1:15">
      <c r="A169" s="45"/>
      <c r="B169" s="45"/>
      <c r="C169" s="46"/>
      <c r="D169" s="47"/>
      <c r="E169" s="46">
        <f t="shared" si="4"/>
        <v>0</v>
      </c>
      <c r="F169" s="45"/>
      <c r="G169" s="48"/>
      <c r="H169" s="45"/>
      <c r="I169" s="45"/>
      <c r="J169" s="49"/>
      <c r="K169" s="45"/>
      <c r="L169" s="45"/>
      <c r="M169" s="49"/>
      <c r="N169" s="45"/>
      <c r="O169" s="45"/>
    </row>
    <row r="170" spans="1:15">
      <c r="A170" s="50"/>
      <c r="B170" s="50"/>
      <c r="C170" s="51"/>
      <c r="D170" s="52"/>
      <c r="E170" s="46">
        <f t="shared" si="4"/>
        <v>0</v>
      </c>
      <c r="F170" s="50"/>
      <c r="G170" s="53"/>
      <c r="H170" s="50"/>
      <c r="I170" s="50"/>
      <c r="J170" s="54"/>
      <c r="K170" s="50"/>
      <c r="L170" s="50"/>
      <c r="M170" s="54"/>
      <c r="N170" s="50"/>
      <c r="O170" s="50"/>
    </row>
    <row r="171" spans="1:15">
      <c r="A171" s="45"/>
      <c r="B171" s="45"/>
      <c r="C171" s="46"/>
      <c r="D171" s="47"/>
      <c r="E171" s="46">
        <f t="shared" si="4"/>
        <v>0</v>
      </c>
      <c r="F171" s="45"/>
      <c r="G171" s="48"/>
      <c r="H171" s="45"/>
      <c r="I171" s="45"/>
      <c r="J171" s="49"/>
      <c r="K171" s="45"/>
      <c r="L171" s="45"/>
      <c r="M171" s="49"/>
      <c r="N171" s="45"/>
      <c r="O171" s="45"/>
    </row>
    <row r="172" spans="1:15">
      <c r="A172" s="50"/>
      <c r="B172" s="50"/>
      <c r="C172" s="51"/>
      <c r="D172" s="52"/>
      <c r="E172" s="46">
        <f t="shared" si="4"/>
        <v>0</v>
      </c>
      <c r="F172" s="50"/>
      <c r="G172" s="53"/>
      <c r="H172" s="50"/>
      <c r="I172" s="50"/>
      <c r="J172" s="54"/>
      <c r="K172" s="50"/>
      <c r="L172" s="50"/>
      <c r="M172" s="54"/>
      <c r="N172" s="50"/>
      <c r="O172" s="50"/>
    </row>
    <row r="173" spans="1:15">
      <c r="A173" s="45"/>
      <c r="B173" s="45"/>
      <c r="C173" s="46"/>
      <c r="D173" s="47"/>
      <c r="E173" s="46">
        <f t="shared" si="4"/>
        <v>0</v>
      </c>
      <c r="F173" s="45"/>
      <c r="G173" s="48"/>
      <c r="H173" s="45"/>
      <c r="I173" s="45"/>
      <c r="J173" s="49"/>
      <c r="K173" s="45"/>
      <c r="L173" s="45"/>
      <c r="M173" s="49"/>
      <c r="N173" s="45"/>
      <c r="O173" s="45"/>
    </row>
    <row r="174" spans="1:15">
      <c r="A174" s="50"/>
      <c r="B174" s="50"/>
      <c r="C174" s="51"/>
      <c r="D174" s="52"/>
      <c r="E174" s="46">
        <f t="shared" si="4"/>
        <v>0</v>
      </c>
      <c r="F174" s="50"/>
      <c r="G174" s="53"/>
      <c r="H174" s="50"/>
      <c r="I174" s="50"/>
      <c r="J174" s="54"/>
      <c r="K174" s="50"/>
      <c r="L174" s="50"/>
      <c r="M174" s="54"/>
      <c r="N174" s="50"/>
      <c r="O174" s="50"/>
    </row>
    <row r="175" spans="1:15">
      <c r="A175" s="45"/>
      <c r="B175" s="45"/>
      <c r="C175" s="46"/>
      <c r="D175" s="47"/>
      <c r="E175" s="46">
        <f t="shared" si="4"/>
        <v>0</v>
      </c>
      <c r="F175" s="45"/>
      <c r="G175" s="48"/>
      <c r="H175" s="45"/>
      <c r="I175" s="45"/>
      <c r="J175" s="49"/>
      <c r="K175" s="45"/>
      <c r="L175" s="45"/>
      <c r="M175" s="49"/>
      <c r="N175" s="45"/>
      <c r="O175" s="45"/>
    </row>
    <row r="176" spans="1:15">
      <c r="A176" s="50"/>
      <c r="B176" s="50"/>
      <c r="C176" s="51"/>
      <c r="D176" s="52"/>
      <c r="E176" s="46">
        <f t="shared" si="4"/>
        <v>0</v>
      </c>
      <c r="F176" s="50"/>
      <c r="G176" s="53"/>
      <c r="H176" s="50"/>
      <c r="I176" s="50"/>
      <c r="J176" s="54"/>
      <c r="K176" s="50"/>
      <c r="L176" s="50"/>
      <c r="M176" s="54"/>
      <c r="N176" s="50"/>
      <c r="O176" s="50"/>
    </row>
    <row r="177" spans="1:15">
      <c r="A177" s="45"/>
      <c r="B177" s="45"/>
      <c r="C177" s="46"/>
      <c r="D177" s="47"/>
      <c r="E177" s="46">
        <f t="shared" si="4"/>
        <v>0</v>
      </c>
      <c r="F177" s="45"/>
      <c r="G177" s="48"/>
      <c r="H177" s="45"/>
      <c r="I177" s="45"/>
      <c r="J177" s="49"/>
      <c r="K177" s="45"/>
      <c r="L177" s="45"/>
      <c r="M177" s="49"/>
      <c r="N177" s="45"/>
      <c r="O177" s="45"/>
    </row>
    <row r="178" spans="1:15">
      <c r="A178" s="50"/>
      <c r="B178" s="50"/>
      <c r="C178" s="51"/>
      <c r="D178" s="52"/>
      <c r="E178" s="46">
        <f t="shared" si="4"/>
        <v>0</v>
      </c>
      <c r="F178" s="50"/>
      <c r="G178" s="53"/>
      <c r="H178" s="50"/>
      <c r="I178" s="50"/>
      <c r="J178" s="54"/>
      <c r="K178" s="50"/>
      <c r="L178" s="50"/>
      <c r="M178" s="54"/>
      <c r="N178" s="50"/>
      <c r="O178" s="50"/>
    </row>
    <row r="179" spans="1:15">
      <c r="A179" s="45"/>
      <c r="B179" s="45"/>
      <c r="C179" s="46"/>
      <c r="D179" s="47"/>
      <c r="E179" s="46">
        <f t="shared" ref="E179:E242" si="5">D179*C179</f>
        <v>0</v>
      </c>
      <c r="F179" s="45"/>
      <c r="G179" s="48"/>
      <c r="H179" s="45"/>
      <c r="I179" s="45"/>
      <c r="J179" s="49"/>
      <c r="K179" s="45"/>
      <c r="L179" s="45"/>
      <c r="M179" s="49"/>
      <c r="N179" s="45"/>
      <c r="O179" s="45"/>
    </row>
    <row r="180" spans="1:15">
      <c r="A180" s="50"/>
      <c r="B180" s="50"/>
      <c r="C180" s="51"/>
      <c r="D180" s="52"/>
      <c r="E180" s="46">
        <f t="shared" si="5"/>
        <v>0</v>
      </c>
      <c r="F180" s="50"/>
      <c r="G180" s="53"/>
      <c r="H180" s="50"/>
      <c r="I180" s="50"/>
      <c r="J180" s="54"/>
      <c r="K180" s="50"/>
      <c r="L180" s="50"/>
      <c r="M180" s="54"/>
      <c r="N180" s="50"/>
      <c r="O180" s="50"/>
    </row>
    <row r="181" spans="1:15">
      <c r="A181" s="45"/>
      <c r="B181" s="45"/>
      <c r="C181" s="46"/>
      <c r="D181" s="47"/>
      <c r="E181" s="46">
        <f t="shared" si="5"/>
        <v>0</v>
      </c>
      <c r="F181" s="45"/>
      <c r="G181" s="48"/>
      <c r="H181" s="45"/>
      <c r="I181" s="45"/>
      <c r="J181" s="49"/>
      <c r="K181" s="45"/>
      <c r="L181" s="45"/>
      <c r="M181" s="49"/>
      <c r="N181" s="45"/>
      <c r="O181" s="45"/>
    </row>
    <row r="182" spans="1:15">
      <c r="A182" s="50"/>
      <c r="B182" s="50"/>
      <c r="C182" s="51"/>
      <c r="D182" s="52"/>
      <c r="E182" s="46">
        <f t="shared" si="5"/>
        <v>0</v>
      </c>
      <c r="F182" s="50"/>
      <c r="G182" s="53"/>
      <c r="H182" s="50"/>
      <c r="I182" s="50"/>
      <c r="J182" s="54"/>
      <c r="K182" s="50"/>
      <c r="L182" s="50"/>
      <c r="M182" s="54"/>
      <c r="N182" s="50"/>
      <c r="O182" s="50"/>
    </row>
    <row r="183" spans="1:15">
      <c r="A183" s="45"/>
      <c r="B183" s="45"/>
      <c r="C183" s="46"/>
      <c r="D183" s="47"/>
      <c r="E183" s="46">
        <f t="shared" si="5"/>
        <v>0</v>
      </c>
      <c r="F183" s="45"/>
      <c r="G183" s="48"/>
      <c r="H183" s="45"/>
      <c r="I183" s="45"/>
      <c r="J183" s="49"/>
      <c r="K183" s="45"/>
      <c r="L183" s="45"/>
      <c r="M183" s="49"/>
      <c r="N183" s="45"/>
      <c r="O183" s="45"/>
    </row>
    <row r="184" spans="1:15">
      <c r="A184" s="50"/>
      <c r="B184" s="50"/>
      <c r="C184" s="51"/>
      <c r="D184" s="52"/>
      <c r="E184" s="46">
        <f t="shared" si="5"/>
        <v>0</v>
      </c>
      <c r="F184" s="50"/>
      <c r="G184" s="53"/>
      <c r="H184" s="50"/>
      <c r="I184" s="50"/>
      <c r="J184" s="54"/>
      <c r="K184" s="50"/>
      <c r="L184" s="50"/>
      <c r="M184" s="54"/>
      <c r="N184" s="50"/>
      <c r="O184" s="50"/>
    </row>
    <row r="185" spans="1:15">
      <c r="A185" s="45"/>
      <c r="B185" s="45"/>
      <c r="C185" s="46"/>
      <c r="D185" s="47"/>
      <c r="E185" s="46">
        <f t="shared" si="5"/>
        <v>0</v>
      </c>
      <c r="F185" s="45"/>
      <c r="G185" s="48"/>
      <c r="H185" s="45"/>
      <c r="I185" s="45"/>
      <c r="J185" s="49"/>
      <c r="K185" s="45"/>
      <c r="L185" s="45"/>
      <c r="M185" s="49"/>
      <c r="N185" s="45"/>
      <c r="O185" s="45"/>
    </row>
    <row r="186" spans="1:15">
      <c r="A186" s="50"/>
      <c r="B186" s="50"/>
      <c r="C186" s="51"/>
      <c r="D186" s="52"/>
      <c r="E186" s="46">
        <f t="shared" si="5"/>
        <v>0</v>
      </c>
      <c r="F186" s="50"/>
      <c r="G186" s="53"/>
      <c r="H186" s="50"/>
      <c r="I186" s="50"/>
      <c r="J186" s="54"/>
      <c r="K186" s="50"/>
      <c r="L186" s="50"/>
      <c r="M186" s="54"/>
      <c r="N186" s="50"/>
      <c r="O186" s="50"/>
    </row>
    <row r="187" spans="1:15">
      <c r="A187" s="45"/>
      <c r="B187" s="45"/>
      <c r="C187" s="46"/>
      <c r="D187" s="47"/>
      <c r="E187" s="46">
        <f t="shared" si="5"/>
        <v>0</v>
      </c>
      <c r="F187" s="45"/>
      <c r="G187" s="48"/>
      <c r="H187" s="45"/>
      <c r="I187" s="45"/>
      <c r="J187" s="49"/>
      <c r="K187" s="45"/>
      <c r="L187" s="45"/>
      <c r="M187" s="49"/>
      <c r="N187" s="45"/>
      <c r="O187" s="45"/>
    </row>
    <row r="188" spans="1:15">
      <c r="A188" s="50"/>
      <c r="B188" s="50"/>
      <c r="C188" s="51"/>
      <c r="D188" s="52"/>
      <c r="E188" s="46">
        <f t="shared" si="5"/>
        <v>0</v>
      </c>
      <c r="F188" s="50"/>
      <c r="G188" s="53"/>
      <c r="H188" s="50"/>
      <c r="I188" s="50"/>
      <c r="J188" s="54"/>
      <c r="K188" s="50"/>
      <c r="L188" s="50"/>
      <c r="M188" s="54"/>
      <c r="N188" s="50"/>
      <c r="O188" s="50"/>
    </row>
    <row r="189" spans="1:15">
      <c r="A189" s="45"/>
      <c r="B189" s="45"/>
      <c r="C189" s="46"/>
      <c r="D189" s="47"/>
      <c r="E189" s="46">
        <f t="shared" si="5"/>
        <v>0</v>
      </c>
      <c r="F189" s="45"/>
      <c r="G189" s="48"/>
      <c r="H189" s="45"/>
      <c r="I189" s="45"/>
      <c r="J189" s="49"/>
      <c r="K189" s="45"/>
      <c r="L189" s="45"/>
      <c r="M189" s="49"/>
      <c r="N189" s="45"/>
      <c r="O189" s="45"/>
    </row>
    <row r="190" spans="1:15">
      <c r="A190" s="50"/>
      <c r="B190" s="50"/>
      <c r="C190" s="51"/>
      <c r="D190" s="52"/>
      <c r="E190" s="46">
        <f t="shared" si="5"/>
        <v>0</v>
      </c>
      <c r="F190" s="50"/>
      <c r="G190" s="53"/>
      <c r="H190" s="50"/>
      <c r="I190" s="50"/>
      <c r="J190" s="54"/>
      <c r="K190" s="50"/>
      <c r="L190" s="50"/>
      <c r="M190" s="54"/>
      <c r="N190" s="50"/>
      <c r="O190" s="50"/>
    </row>
    <row r="191" spans="1:15">
      <c r="A191" s="45"/>
      <c r="B191" s="45"/>
      <c r="C191" s="46"/>
      <c r="D191" s="47"/>
      <c r="E191" s="46">
        <f t="shared" si="5"/>
        <v>0</v>
      </c>
      <c r="F191" s="45"/>
      <c r="G191" s="48"/>
      <c r="H191" s="45"/>
      <c r="I191" s="45"/>
      <c r="J191" s="49"/>
      <c r="K191" s="45"/>
      <c r="L191" s="45"/>
      <c r="M191" s="49"/>
      <c r="N191" s="45"/>
      <c r="O191" s="45"/>
    </row>
    <row r="192" spans="1:15">
      <c r="A192" s="50"/>
      <c r="B192" s="50"/>
      <c r="C192" s="51"/>
      <c r="D192" s="52"/>
      <c r="E192" s="46">
        <f t="shared" si="5"/>
        <v>0</v>
      </c>
      <c r="F192" s="50"/>
      <c r="G192" s="53"/>
      <c r="H192" s="50"/>
      <c r="I192" s="50"/>
      <c r="J192" s="54"/>
      <c r="K192" s="50"/>
      <c r="L192" s="50"/>
      <c r="M192" s="54"/>
      <c r="N192" s="50"/>
      <c r="O192" s="50"/>
    </row>
    <row r="193" spans="1:15">
      <c r="A193" s="45"/>
      <c r="B193" s="45"/>
      <c r="C193" s="46"/>
      <c r="D193" s="47"/>
      <c r="E193" s="46">
        <f t="shared" si="5"/>
        <v>0</v>
      </c>
      <c r="F193" s="45"/>
      <c r="G193" s="48"/>
      <c r="H193" s="45"/>
      <c r="I193" s="45"/>
      <c r="J193" s="49"/>
      <c r="K193" s="45"/>
      <c r="L193" s="45"/>
      <c r="M193" s="49"/>
      <c r="N193" s="45"/>
      <c r="O193" s="45"/>
    </row>
    <row r="194" spans="1:15">
      <c r="A194" s="50"/>
      <c r="B194" s="50"/>
      <c r="C194" s="51"/>
      <c r="D194" s="52"/>
      <c r="E194" s="46">
        <f t="shared" si="5"/>
        <v>0</v>
      </c>
      <c r="F194" s="50"/>
      <c r="G194" s="53"/>
      <c r="H194" s="50"/>
      <c r="I194" s="50"/>
      <c r="J194" s="54"/>
      <c r="K194" s="50"/>
      <c r="L194" s="50"/>
      <c r="M194" s="54"/>
      <c r="N194" s="50"/>
      <c r="O194" s="50"/>
    </row>
    <row r="195" spans="1:15">
      <c r="A195" s="45"/>
      <c r="B195" s="45"/>
      <c r="C195" s="46"/>
      <c r="D195" s="47"/>
      <c r="E195" s="46">
        <f t="shared" si="5"/>
        <v>0</v>
      </c>
      <c r="F195" s="45"/>
      <c r="G195" s="48"/>
      <c r="H195" s="45"/>
      <c r="I195" s="45"/>
      <c r="J195" s="49"/>
      <c r="K195" s="45"/>
      <c r="L195" s="45"/>
      <c r="M195" s="49"/>
      <c r="N195" s="45"/>
      <c r="O195" s="45"/>
    </row>
    <row r="196" spans="1:15">
      <c r="A196" s="50"/>
      <c r="B196" s="50"/>
      <c r="C196" s="51"/>
      <c r="D196" s="52"/>
      <c r="E196" s="46">
        <f t="shared" si="5"/>
        <v>0</v>
      </c>
      <c r="F196" s="50"/>
      <c r="G196" s="53"/>
      <c r="H196" s="50"/>
      <c r="I196" s="50"/>
      <c r="J196" s="54"/>
      <c r="K196" s="50"/>
      <c r="L196" s="50"/>
      <c r="M196" s="54"/>
      <c r="N196" s="50"/>
      <c r="O196" s="50"/>
    </row>
    <row r="197" spans="1:15">
      <c r="A197" s="45"/>
      <c r="B197" s="45"/>
      <c r="C197" s="46"/>
      <c r="D197" s="47"/>
      <c r="E197" s="46">
        <f t="shared" si="5"/>
        <v>0</v>
      </c>
      <c r="F197" s="45"/>
      <c r="G197" s="48"/>
      <c r="H197" s="45"/>
      <c r="I197" s="45"/>
      <c r="J197" s="49"/>
      <c r="K197" s="45"/>
      <c r="L197" s="45"/>
      <c r="M197" s="49"/>
      <c r="N197" s="45"/>
      <c r="O197" s="45"/>
    </row>
    <row r="198" spans="1:15">
      <c r="A198" s="50"/>
      <c r="B198" s="50"/>
      <c r="C198" s="51"/>
      <c r="D198" s="52"/>
      <c r="E198" s="46">
        <f t="shared" si="5"/>
        <v>0</v>
      </c>
      <c r="F198" s="50"/>
      <c r="G198" s="53"/>
      <c r="H198" s="50"/>
      <c r="I198" s="50"/>
      <c r="J198" s="54"/>
      <c r="K198" s="50"/>
      <c r="L198" s="50"/>
      <c r="M198" s="54"/>
      <c r="N198" s="50"/>
      <c r="O198" s="50"/>
    </row>
    <row r="199" spans="1:15">
      <c r="A199" s="45"/>
      <c r="B199" s="45"/>
      <c r="C199" s="46"/>
      <c r="D199" s="47"/>
      <c r="E199" s="46">
        <f t="shared" si="5"/>
        <v>0</v>
      </c>
      <c r="F199" s="45"/>
      <c r="G199" s="48"/>
      <c r="H199" s="45"/>
      <c r="I199" s="45"/>
      <c r="J199" s="49"/>
      <c r="K199" s="45"/>
      <c r="L199" s="45"/>
      <c r="M199" s="49"/>
      <c r="N199" s="45"/>
      <c r="O199" s="45"/>
    </row>
    <row r="200" spans="1:15">
      <c r="A200" s="50"/>
      <c r="B200" s="50"/>
      <c r="C200" s="51"/>
      <c r="D200" s="52"/>
      <c r="E200" s="46">
        <f t="shared" si="5"/>
        <v>0</v>
      </c>
      <c r="F200" s="50"/>
      <c r="G200" s="53"/>
      <c r="H200" s="50"/>
      <c r="I200" s="50"/>
      <c r="J200" s="54"/>
      <c r="K200" s="50"/>
      <c r="L200" s="50"/>
      <c r="M200" s="54"/>
      <c r="N200" s="50"/>
      <c r="O200" s="50"/>
    </row>
    <row r="201" spans="1:15">
      <c r="A201" s="45"/>
      <c r="B201" s="45"/>
      <c r="C201" s="46"/>
      <c r="D201" s="47"/>
      <c r="E201" s="46">
        <f t="shared" si="5"/>
        <v>0</v>
      </c>
      <c r="F201" s="45"/>
      <c r="G201" s="48"/>
      <c r="H201" s="45"/>
      <c r="I201" s="45"/>
      <c r="J201" s="49"/>
      <c r="K201" s="45"/>
      <c r="L201" s="45"/>
      <c r="M201" s="49"/>
      <c r="N201" s="45"/>
      <c r="O201" s="45"/>
    </row>
    <row r="202" spans="1:15">
      <c r="A202" s="50"/>
      <c r="B202" s="50"/>
      <c r="C202" s="51"/>
      <c r="D202" s="52"/>
      <c r="E202" s="46">
        <f t="shared" si="5"/>
        <v>0</v>
      </c>
      <c r="F202" s="50"/>
      <c r="G202" s="53"/>
      <c r="H202" s="50"/>
      <c r="I202" s="50"/>
      <c r="J202" s="54"/>
      <c r="K202" s="50"/>
      <c r="L202" s="50"/>
      <c r="M202" s="54"/>
      <c r="N202" s="50"/>
      <c r="O202" s="50"/>
    </row>
    <row r="203" spans="1:15">
      <c r="A203" s="45"/>
      <c r="B203" s="45"/>
      <c r="C203" s="46"/>
      <c r="D203" s="47"/>
      <c r="E203" s="46">
        <f t="shared" si="5"/>
        <v>0</v>
      </c>
      <c r="F203" s="45"/>
      <c r="G203" s="48"/>
      <c r="H203" s="45"/>
      <c r="I203" s="45"/>
      <c r="J203" s="49"/>
      <c r="K203" s="45"/>
      <c r="L203" s="45"/>
      <c r="M203" s="49"/>
      <c r="N203" s="45"/>
      <c r="O203" s="45"/>
    </row>
    <row r="204" spans="1:15">
      <c r="A204" s="50"/>
      <c r="B204" s="50"/>
      <c r="C204" s="51"/>
      <c r="D204" s="52"/>
      <c r="E204" s="46">
        <f t="shared" si="5"/>
        <v>0</v>
      </c>
      <c r="F204" s="50"/>
      <c r="G204" s="53"/>
      <c r="H204" s="50"/>
      <c r="I204" s="50"/>
      <c r="J204" s="54"/>
      <c r="K204" s="50"/>
      <c r="L204" s="50"/>
      <c r="M204" s="54"/>
      <c r="N204" s="50"/>
      <c r="O204" s="50"/>
    </row>
    <row r="205" spans="1:15">
      <c r="A205" s="45"/>
      <c r="B205" s="45"/>
      <c r="C205" s="46"/>
      <c r="D205" s="47"/>
      <c r="E205" s="46">
        <f t="shared" si="5"/>
        <v>0</v>
      </c>
      <c r="F205" s="45"/>
      <c r="G205" s="48"/>
      <c r="H205" s="45"/>
      <c r="I205" s="45"/>
      <c r="J205" s="49"/>
      <c r="K205" s="45"/>
      <c r="L205" s="45"/>
      <c r="M205" s="49"/>
      <c r="N205" s="45"/>
      <c r="O205" s="45"/>
    </row>
    <row r="206" spans="1:15">
      <c r="A206" s="50"/>
      <c r="B206" s="50"/>
      <c r="C206" s="51"/>
      <c r="D206" s="52"/>
      <c r="E206" s="46">
        <f t="shared" si="5"/>
        <v>0</v>
      </c>
      <c r="F206" s="50"/>
      <c r="G206" s="53"/>
      <c r="H206" s="50"/>
      <c r="I206" s="50"/>
      <c r="J206" s="54"/>
      <c r="K206" s="50"/>
      <c r="L206" s="50"/>
      <c r="M206" s="54"/>
      <c r="N206" s="50"/>
      <c r="O206" s="50"/>
    </row>
    <row r="207" spans="1:15">
      <c r="A207" s="45"/>
      <c r="B207" s="45"/>
      <c r="C207" s="46"/>
      <c r="D207" s="47"/>
      <c r="E207" s="46">
        <f t="shared" si="5"/>
        <v>0</v>
      </c>
      <c r="F207" s="45"/>
      <c r="G207" s="48"/>
      <c r="H207" s="45"/>
      <c r="I207" s="45"/>
      <c r="J207" s="49"/>
      <c r="K207" s="45"/>
      <c r="L207" s="45"/>
      <c r="M207" s="49"/>
      <c r="N207" s="45"/>
      <c r="O207" s="45"/>
    </row>
    <row r="208" spans="1:15">
      <c r="A208" s="50"/>
      <c r="B208" s="50"/>
      <c r="C208" s="51"/>
      <c r="D208" s="52"/>
      <c r="E208" s="46">
        <f t="shared" si="5"/>
        <v>0</v>
      </c>
      <c r="F208" s="50"/>
      <c r="G208" s="53"/>
      <c r="H208" s="50"/>
      <c r="I208" s="50"/>
      <c r="J208" s="54"/>
      <c r="K208" s="50"/>
      <c r="L208" s="50"/>
      <c r="M208" s="54"/>
      <c r="N208" s="50"/>
      <c r="O208" s="50"/>
    </row>
    <row r="209" spans="1:15">
      <c r="A209" s="45"/>
      <c r="B209" s="45"/>
      <c r="C209" s="46"/>
      <c r="D209" s="47"/>
      <c r="E209" s="46">
        <f t="shared" si="5"/>
        <v>0</v>
      </c>
      <c r="F209" s="45"/>
      <c r="G209" s="48"/>
      <c r="H209" s="45"/>
      <c r="I209" s="45"/>
      <c r="J209" s="49"/>
      <c r="K209" s="45"/>
      <c r="L209" s="45"/>
      <c r="M209" s="49"/>
      <c r="N209" s="45"/>
      <c r="O209" s="45"/>
    </row>
    <row r="210" spans="1:15">
      <c r="A210" s="50"/>
      <c r="B210" s="50"/>
      <c r="C210" s="51"/>
      <c r="D210" s="52"/>
      <c r="E210" s="46">
        <f t="shared" si="5"/>
        <v>0</v>
      </c>
      <c r="F210" s="50"/>
      <c r="G210" s="53"/>
      <c r="H210" s="50"/>
      <c r="I210" s="50"/>
      <c r="J210" s="54"/>
      <c r="K210" s="50"/>
      <c r="L210" s="50"/>
      <c r="M210" s="54"/>
      <c r="N210" s="50"/>
      <c r="O210" s="50"/>
    </row>
    <row r="211" spans="1:15">
      <c r="A211" s="45"/>
      <c r="B211" s="45"/>
      <c r="C211" s="46"/>
      <c r="D211" s="47"/>
      <c r="E211" s="46">
        <f t="shared" si="5"/>
        <v>0</v>
      </c>
      <c r="F211" s="45"/>
      <c r="G211" s="48"/>
      <c r="H211" s="45"/>
      <c r="I211" s="45"/>
      <c r="J211" s="49"/>
      <c r="K211" s="45"/>
      <c r="L211" s="45"/>
      <c r="M211" s="49"/>
      <c r="N211" s="45"/>
      <c r="O211" s="45"/>
    </row>
    <row r="212" spans="1:15">
      <c r="A212" s="50"/>
      <c r="B212" s="50"/>
      <c r="C212" s="51"/>
      <c r="D212" s="52"/>
      <c r="E212" s="46">
        <f t="shared" si="5"/>
        <v>0</v>
      </c>
      <c r="F212" s="50"/>
      <c r="G212" s="53"/>
      <c r="H212" s="50"/>
      <c r="I212" s="50"/>
      <c r="J212" s="54"/>
      <c r="K212" s="50"/>
      <c r="L212" s="50"/>
      <c r="M212" s="54"/>
      <c r="N212" s="50"/>
      <c r="O212" s="50"/>
    </row>
    <row r="213" spans="1:15">
      <c r="A213" s="45"/>
      <c r="B213" s="45"/>
      <c r="C213" s="46"/>
      <c r="D213" s="47"/>
      <c r="E213" s="46">
        <f t="shared" si="5"/>
        <v>0</v>
      </c>
      <c r="F213" s="45"/>
      <c r="G213" s="48"/>
      <c r="H213" s="45"/>
      <c r="I213" s="45"/>
      <c r="J213" s="49"/>
      <c r="K213" s="45"/>
      <c r="L213" s="45"/>
      <c r="M213" s="49"/>
      <c r="N213" s="45"/>
      <c r="O213" s="45"/>
    </row>
    <row r="214" spans="1:15">
      <c r="A214" s="50"/>
      <c r="B214" s="50"/>
      <c r="C214" s="51"/>
      <c r="D214" s="52"/>
      <c r="E214" s="46">
        <f t="shared" si="5"/>
        <v>0</v>
      </c>
      <c r="F214" s="50"/>
      <c r="G214" s="53"/>
      <c r="H214" s="50"/>
      <c r="I214" s="50"/>
      <c r="J214" s="54"/>
      <c r="K214" s="50"/>
      <c r="L214" s="50"/>
      <c r="M214" s="54"/>
      <c r="N214" s="50"/>
      <c r="O214" s="50"/>
    </row>
    <row r="215" spans="1:15">
      <c r="A215" s="45"/>
      <c r="B215" s="45"/>
      <c r="C215" s="46"/>
      <c r="D215" s="47"/>
      <c r="E215" s="46">
        <f t="shared" si="5"/>
        <v>0</v>
      </c>
      <c r="F215" s="45"/>
      <c r="G215" s="48"/>
      <c r="H215" s="45"/>
      <c r="I215" s="45"/>
      <c r="J215" s="49"/>
      <c r="K215" s="45"/>
      <c r="L215" s="45"/>
      <c r="M215" s="49"/>
      <c r="N215" s="45"/>
      <c r="O215" s="45"/>
    </row>
    <row r="216" spans="1:15">
      <c r="A216" s="50"/>
      <c r="B216" s="50"/>
      <c r="C216" s="51"/>
      <c r="D216" s="52"/>
      <c r="E216" s="46">
        <f t="shared" si="5"/>
        <v>0</v>
      </c>
      <c r="F216" s="50"/>
      <c r="G216" s="53"/>
      <c r="H216" s="50"/>
      <c r="I216" s="50"/>
      <c r="J216" s="54"/>
      <c r="K216" s="50"/>
      <c r="L216" s="50"/>
      <c r="M216" s="54"/>
      <c r="N216" s="50"/>
      <c r="O216" s="50"/>
    </row>
    <row r="217" spans="1:15">
      <c r="A217" s="45"/>
      <c r="B217" s="45"/>
      <c r="C217" s="46"/>
      <c r="D217" s="47"/>
      <c r="E217" s="46">
        <f t="shared" si="5"/>
        <v>0</v>
      </c>
      <c r="F217" s="45"/>
      <c r="G217" s="48"/>
      <c r="H217" s="45"/>
      <c r="I217" s="45"/>
      <c r="J217" s="49"/>
      <c r="K217" s="45"/>
      <c r="L217" s="45"/>
      <c r="M217" s="49"/>
      <c r="N217" s="45"/>
      <c r="O217" s="45"/>
    </row>
    <row r="218" spans="1:15">
      <c r="A218" s="50"/>
      <c r="B218" s="50"/>
      <c r="C218" s="51"/>
      <c r="D218" s="52"/>
      <c r="E218" s="46">
        <f t="shared" si="5"/>
        <v>0</v>
      </c>
      <c r="F218" s="50"/>
      <c r="G218" s="53"/>
      <c r="H218" s="50"/>
      <c r="I218" s="50"/>
      <c r="J218" s="54"/>
      <c r="K218" s="50"/>
      <c r="L218" s="50"/>
      <c r="M218" s="54"/>
      <c r="N218" s="50"/>
      <c r="O218" s="50"/>
    </row>
    <row r="219" spans="1:15">
      <c r="A219" s="45"/>
      <c r="B219" s="45"/>
      <c r="C219" s="46"/>
      <c r="D219" s="47"/>
      <c r="E219" s="46">
        <f t="shared" si="5"/>
        <v>0</v>
      </c>
      <c r="F219" s="45"/>
      <c r="G219" s="48"/>
      <c r="H219" s="45"/>
      <c r="I219" s="45"/>
      <c r="J219" s="49"/>
      <c r="K219" s="45"/>
      <c r="L219" s="45"/>
      <c r="M219" s="49"/>
      <c r="N219" s="45"/>
      <c r="O219" s="45"/>
    </row>
    <row r="220" spans="1:15">
      <c r="A220" s="50"/>
      <c r="B220" s="50"/>
      <c r="C220" s="51"/>
      <c r="D220" s="52"/>
      <c r="E220" s="46">
        <f t="shared" si="5"/>
        <v>0</v>
      </c>
      <c r="F220" s="50"/>
      <c r="G220" s="53"/>
      <c r="H220" s="50"/>
      <c r="I220" s="50"/>
      <c r="J220" s="54"/>
      <c r="K220" s="50"/>
      <c r="L220" s="50"/>
      <c r="M220" s="54"/>
      <c r="N220" s="50"/>
      <c r="O220" s="50"/>
    </row>
    <row r="221" spans="1:15">
      <c r="A221" s="45"/>
      <c r="B221" s="45"/>
      <c r="C221" s="46"/>
      <c r="D221" s="47"/>
      <c r="E221" s="46">
        <f t="shared" si="5"/>
        <v>0</v>
      </c>
      <c r="F221" s="45"/>
      <c r="G221" s="48"/>
      <c r="H221" s="45"/>
      <c r="I221" s="45"/>
      <c r="J221" s="49"/>
      <c r="K221" s="45"/>
      <c r="L221" s="45"/>
      <c r="M221" s="49"/>
      <c r="N221" s="45"/>
      <c r="O221" s="45"/>
    </row>
    <row r="222" spans="1:15">
      <c r="A222" s="50"/>
      <c r="B222" s="50"/>
      <c r="C222" s="51"/>
      <c r="D222" s="52"/>
      <c r="E222" s="46">
        <f t="shared" si="5"/>
        <v>0</v>
      </c>
      <c r="F222" s="50"/>
      <c r="G222" s="53"/>
      <c r="H222" s="50"/>
      <c r="I222" s="50"/>
      <c r="J222" s="54"/>
      <c r="K222" s="50"/>
      <c r="L222" s="50"/>
      <c r="M222" s="54"/>
      <c r="N222" s="50"/>
      <c r="O222" s="50"/>
    </row>
    <row r="223" spans="1:15">
      <c r="A223" s="45"/>
      <c r="B223" s="45"/>
      <c r="C223" s="46"/>
      <c r="D223" s="47"/>
      <c r="E223" s="46">
        <f t="shared" si="5"/>
        <v>0</v>
      </c>
      <c r="F223" s="45"/>
      <c r="G223" s="48"/>
      <c r="H223" s="45"/>
      <c r="I223" s="45"/>
      <c r="J223" s="49"/>
      <c r="K223" s="45"/>
      <c r="L223" s="45"/>
      <c r="M223" s="49"/>
      <c r="N223" s="45"/>
      <c r="O223" s="45"/>
    </row>
    <row r="224" spans="1:15">
      <c r="A224" s="50"/>
      <c r="B224" s="50"/>
      <c r="C224" s="51"/>
      <c r="D224" s="52"/>
      <c r="E224" s="46">
        <f t="shared" si="5"/>
        <v>0</v>
      </c>
      <c r="F224" s="50"/>
      <c r="G224" s="53"/>
      <c r="H224" s="50"/>
      <c r="I224" s="50"/>
      <c r="J224" s="54"/>
      <c r="K224" s="50"/>
      <c r="L224" s="50"/>
      <c r="M224" s="54"/>
      <c r="N224" s="50"/>
      <c r="O224" s="50"/>
    </row>
    <row r="225" spans="1:15">
      <c r="A225" s="45"/>
      <c r="B225" s="45"/>
      <c r="C225" s="46"/>
      <c r="D225" s="47"/>
      <c r="E225" s="46">
        <f t="shared" si="5"/>
        <v>0</v>
      </c>
      <c r="F225" s="45"/>
      <c r="G225" s="48"/>
      <c r="H225" s="45"/>
      <c r="I225" s="45"/>
      <c r="J225" s="49"/>
      <c r="K225" s="45"/>
      <c r="L225" s="45"/>
      <c r="M225" s="49"/>
      <c r="N225" s="45"/>
      <c r="O225" s="45"/>
    </row>
    <row r="226" spans="1:15">
      <c r="A226" s="50"/>
      <c r="B226" s="50"/>
      <c r="C226" s="51"/>
      <c r="D226" s="52"/>
      <c r="E226" s="46">
        <f t="shared" si="5"/>
        <v>0</v>
      </c>
      <c r="F226" s="50"/>
      <c r="G226" s="53"/>
      <c r="H226" s="50"/>
      <c r="I226" s="50"/>
      <c r="J226" s="54"/>
      <c r="K226" s="50"/>
      <c r="L226" s="50"/>
      <c r="M226" s="54"/>
      <c r="N226" s="50"/>
      <c r="O226" s="50"/>
    </row>
    <row r="227" spans="1:15">
      <c r="A227" s="45"/>
      <c r="B227" s="45"/>
      <c r="C227" s="46"/>
      <c r="D227" s="47"/>
      <c r="E227" s="46">
        <f t="shared" si="5"/>
        <v>0</v>
      </c>
      <c r="F227" s="45"/>
      <c r="G227" s="48"/>
      <c r="H227" s="45"/>
      <c r="I227" s="45"/>
      <c r="J227" s="49"/>
      <c r="K227" s="45"/>
      <c r="L227" s="45"/>
      <c r="M227" s="49"/>
      <c r="N227" s="45"/>
      <c r="O227" s="45"/>
    </row>
    <row r="228" spans="1:15">
      <c r="A228" s="50"/>
      <c r="B228" s="50"/>
      <c r="C228" s="51"/>
      <c r="D228" s="52"/>
      <c r="E228" s="46">
        <f t="shared" si="5"/>
        <v>0</v>
      </c>
      <c r="F228" s="50"/>
      <c r="G228" s="53"/>
      <c r="H228" s="50"/>
      <c r="I228" s="50"/>
      <c r="J228" s="54"/>
      <c r="K228" s="50"/>
      <c r="L228" s="50"/>
      <c r="M228" s="54"/>
      <c r="N228" s="50"/>
      <c r="O228" s="50"/>
    </row>
    <row r="229" spans="1:15">
      <c r="A229" s="45"/>
      <c r="B229" s="45"/>
      <c r="C229" s="46"/>
      <c r="D229" s="47"/>
      <c r="E229" s="46">
        <f t="shared" si="5"/>
        <v>0</v>
      </c>
      <c r="F229" s="45"/>
      <c r="G229" s="48"/>
      <c r="H229" s="45"/>
      <c r="I229" s="45"/>
      <c r="J229" s="49"/>
      <c r="K229" s="45"/>
      <c r="L229" s="45"/>
      <c r="M229" s="49"/>
      <c r="N229" s="45"/>
      <c r="O229" s="45"/>
    </row>
    <row r="230" spans="1:15">
      <c r="A230" s="50"/>
      <c r="B230" s="50"/>
      <c r="C230" s="51"/>
      <c r="D230" s="52"/>
      <c r="E230" s="46">
        <f t="shared" si="5"/>
        <v>0</v>
      </c>
      <c r="F230" s="50"/>
      <c r="G230" s="53"/>
      <c r="H230" s="50"/>
      <c r="I230" s="50"/>
      <c r="J230" s="54"/>
      <c r="K230" s="50"/>
      <c r="L230" s="50"/>
      <c r="M230" s="54"/>
      <c r="N230" s="50"/>
      <c r="O230" s="50"/>
    </row>
    <row r="231" spans="1:15">
      <c r="A231" s="45"/>
      <c r="B231" s="45"/>
      <c r="C231" s="46"/>
      <c r="D231" s="47"/>
      <c r="E231" s="46">
        <f t="shared" si="5"/>
        <v>0</v>
      </c>
      <c r="F231" s="45"/>
      <c r="G231" s="48"/>
      <c r="H231" s="45"/>
      <c r="I231" s="45"/>
      <c r="J231" s="49"/>
      <c r="K231" s="45"/>
      <c r="L231" s="45"/>
      <c r="M231" s="49"/>
      <c r="N231" s="45"/>
      <c r="O231" s="45"/>
    </row>
    <row r="232" spans="1:15">
      <c r="A232" s="50"/>
      <c r="B232" s="50"/>
      <c r="C232" s="51"/>
      <c r="D232" s="52"/>
      <c r="E232" s="46">
        <f t="shared" si="5"/>
        <v>0</v>
      </c>
      <c r="F232" s="50"/>
      <c r="G232" s="53"/>
      <c r="H232" s="50"/>
      <c r="I232" s="50"/>
      <c r="J232" s="54"/>
      <c r="K232" s="50"/>
      <c r="L232" s="50"/>
      <c r="M232" s="54"/>
      <c r="N232" s="50"/>
      <c r="O232" s="50"/>
    </row>
    <row r="233" spans="1:15">
      <c r="A233" s="45"/>
      <c r="B233" s="45"/>
      <c r="C233" s="46"/>
      <c r="D233" s="47"/>
      <c r="E233" s="46">
        <f t="shared" si="5"/>
        <v>0</v>
      </c>
      <c r="F233" s="45"/>
      <c r="G233" s="48"/>
      <c r="H233" s="45"/>
      <c r="I233" s="45"/>
      <c r="J233" s="49"/>
      <c r="K233" s="45"/>
      <c r="L233" s="45"/>
      <c r="M233" s="49"/>
      <c r="N233" s="45"/>
      <c r="O233" s="45"/>
    </row>
    <row r="234" spans="1:15">
      <c r="A234" s="50"/>
      <c r="B234" s="50"/>
      <c r="C234" s="51"/>
      <c r="D234" s="52"/>
      <c r="E234" s="46">
        <f t="shared" si="5"/>
        <v>0</v>
      </c>
      <c r="F234" s="50"/>
      <c r="G234" s="53"/>
      <c r="H234" s="50"/>
      <c r="I234" s="50"/>
      <c r="J234" s="54"/>
      <c r="K234" s="50"/>
      <c r="L234" s="50"/>
      <c r="M234" s="54"/>
      <c r="N234" s="50"/>
      <c r="O234" s="50"/>
    </row>
    <row r="235" spans="1:15">
      <c r="A235" s="45"/>
      <c r="B235" s="45"/>
      <c r="C235" s="46"/>
      <c r="D235" s="47"/>
      <c r="E235" s="46">
        <f t="shared" si="5"/>
        <v>0</v>
      </c>
      <c r="F235" s="45"/>
      <c r="G235" s="48"/>
      <c r="H235" s="45"/>
      <c r="I235" s="45"/>
      <c r="J235" s="49"/>
      <c r="K235" s="45"/>
      <c r="L235" s="45"/>
      <c r="M235" s="49"/>
      <c r="N235" s="45"/>
      <c r="O235" s="45"/>
    </row>
    <row r="236" spans="1:15">
      <c r="A236" s="50"/>
      <c r="B236" s="50"/>
      <c r="C236" s="51"/>
      <c r="D236" s="52"/>
      <c r="E236" s="46">
        <f t="shared" si="5"/>
        <v>0</v>
      </c>
      <c r="F236" s="50"/>
      <c r="G236" s="53"/>
      <c r="H236" s="50"/>
      <c r="I236" s="50"/>
      <c r="J236" s="54"/>
      <c r="K236" s="50"/>
      <c r="L236" s="50"/>
      <c r="M236" s="54"/>
      <c r="N236" s="50"/>
      <c r="O236" s="50"/>
    </row>
    <row r="237" spans="1:15">
      <c r="A237" s="45"/>
      <c r="B237" s="45"/>
      <c r="C237" s="46"/>
      <c r="D237" s="47"/>
      <c r="E237" s="46">
        <f t="shared" si="5"/>
        <v>0</v>
      </c>
      <c r="F237" s="45"/>
      <c r="G237" s="48"/>
      <c r="H237" s="45"/>
      <c r="I237" s="45"/>
      <c r="J237" s="49"/>
      <c r="K237" s="45"/>
      <c r="L237" s="45"/>
      <c r="M237" s="49"/>
      <c r="N237" s="45"/>
      <c r="O237" s="45"/>
    </row>
    <row r="238" spans="1:15">
      <c r="A238" s="50"/>
      <c r="B238" s="50"/>
      <c r="C238" s="51"/>
      <c r="D238" s="52"/>
      <c r="E238" s="46">
        <f t="shared" si="5"/>
        <v>0</v>
      </c>
      <c r="F238" s="50"/>
      <c r="G238" s="53"/>
      <c r="H238" s="50"/>
      <c r="I238" s="50"/>
      <c r="J238" s="54"/>
      <c r="K238" s="50"/>
      <c r="L238" s="50"/>
      <c r="M238" s="54"/>
      <c r="N238" s="50"/>
      <c r="O238" s="50"/>
    </row>
    <row r="239" spans="1:15">
      <c r="A239" s="45"/>
      <c r="B239" s="45"/>
      <c r="C239" s="46"/>
      <c r="D239" s="47"/>
      <c r="E239" s="46">
        <f t="shared" si="5"/>
        <v>0</v>
      </c>
      <c r="F239" s="45"/>
      <c r="G239" s="48"/>
      <c r="H239" s="45"/>
      <c r="I239" s="45"/>
      <c r="J239" s="49"/>
      <c r="K239" s="45"/>
      <c r="L239" s="45"/>
      <c r="M239" s="49"/>
      <c r="N239" s="45"/>
      <c r="O239" s="45"/>
    </row>
    <row r="240" spans="1:15">
      <c r="A240" s="50"/>
      <c r="B240" s="50"/>
      <c r="C240" s="51"/>
      <c r="D240" s="52"/>
      <c r="E240" s="46">
        <f t="shared" si="5"/>
        <v>0</v>
      </c>
      <c r="F240" s="50"/>
      <c r="G240" s="53"/>
      <c r="H240" s="50"/>
      <c r="I240" s="50"/>
      <c r="J240" s="54"/>
      <c r="K240" s="50"/>
      <c r="L240" s="50"/>
      <c r="M240" s="54"/>
      <c r="N240" s="50"/>
      <c r="O240" s="50"/>
    </row>
    <row r="241" spans="1:15">
      <c r="A241" s="45"/>
      <c r="B241" s="45"/>
      <c r="C241" s="46"/>
      <c r="D241" s="47"/>
      <c r="E241" s="46">
        <f t="shared" si="5"/>
        <v>0</v>
      </c>
      <c r="F241" s="45"/>
      <c r="G241" s="48"/>
      <c r="H241" s="45"/>
      <c r="I241" s="45"/>
      <c r="J241" s="49"/>
      <c r="K241" s="45"/>
      <c r="L241" s="45"/>
      <c r="M241" s="49"/>
      <c r="N241" s="45"/>
      <c r="O241" s="45"/>
    </row>
    <row r="242" spans="1:15">
      <c r="A242" s="50"/>
      <c r="B242" s="50"/>
      <c r="C242" s="51"/>
      <c r="D242" s="52"/>
      <c r="E242" s="46">
        <f t="shared" si="5"/>
        <v>0</v>
      </c>
      <c r="F242" s="50"/>
      <c r="G242" s="53"/>
      <c r="H242" s="50"/>
      <c r="I242" s="50"/>
      <c r="J242" s="54"/>
      <c r="K242" s="50"/>
      <c r="L242" s="50"/>
      <c r="M242" s="54"/>
      <c r="N242" s="50"/>
      <c r="O242" s="50"/>
    </row>
    <row r="243" spans="1:15">
      <c r="A243" s="45"/>
      <c r="B243" s="45"/>
      <c r="C243" s="46"/>
      <c r="D243" s="47"/>
      <c r="E243" s="46">
        <f t="shared" ref="E243:E274" si="6">D243*C243</f>
        <v>0</v>
      </c>
      <c r="F243" s="45"/>
      <c r="G243" s="48"/>
      <c r="H243" s="45"/>
      <c r="I243" s="45"/>
      <c r="J243" s="49"/>
      <c r="K243" s="45"/>
      <c r="L243" s="45"/>
      <c r="M243" s="49"/>
      <c r="N243" s="45"/>
      <c r="O243" s="45"/>
    </row>
    <row r="244" spans="1:15">
      <c r="A244" s="50"/>
      <c r="B244" s="50"/>
      <c r="C244" s="51"/>
      <c r="D244" s="52"/>
      <c r="E244" s="46">
        <f t="shared" si="6"/>
        <v>0</v>
      </c>
      <c r="F244" s="50"/>
      <c r="G244" s="53"/>
      <c r="H244" s="50"/>
      <c r="I244" s="50"/>
      <c r="J244" s="54"/>
      <c r="K244" s="50"/>
      <c r="L244" s="50"/>
      <c r="M244" s="54"/>
      <c r="N244" s="50"/>
      <c r="O244" s="50"/>
    </row>
    <row r="245" spans="1:15">
      <c r="A245" s="45"/>
      <c r="B245" s="45"/>
      <c r="C245" s="46"/>
      <c r="D245" s="47"/>
      <c r="E245" s="46">
        <f t="shared" si="6"/>
        <v>0</v>
      </c>
      <c r="F245" s="45"/>
      <c r="G245" s="48"/>
      <c r="H245" s="45"/>
      <c r="I245" s="45"/>
      <c r="J245" s="49"/>
      <c r="K245" s="45"/>
      <c r="L245" s="45"/>
      <c r="M245" s="49"/>
      <c r="N245" s="45"/>
      <c r="O245" s="45"/>
    </row>
    <row r="246" spans="1:15">
      <c r="A246" s="50"/>
      <c r="B246" s="50"/>
      <c r="C246" s="51"/>
      <c r="D246" s="52"/>
      <c r="E246" s="46">
        <f t="shared" si="6"/>
        <v>0</v>
      </c>
      <c r="F246" s="50"/>
      <c r="G246" s="53"/>
      <c r="H246" s="50"/>
      <c r="I246" s="50"/>
      <c r="J246" s="54"/>
      <c r="K246" s="50"/>
      <c r="L246" s="50"/>
      <c r="M246" s="54"/>
      <c r="N246" s="50"/>
      <c r="O246" s="50"/>
    </row>
    <row r="247" spans="1:15">
      <c r="A247" s="45"/>
      <c r="B247" s="45"/>
      <c r="C247" s="46"/>
      <c r="D247" s="47"/>
      <c r="E247" s="46">
        <f t="shared" si="6"/>
        <v>0</v>
      </c>
      <c r="F247" s="45"/>
      <c r="G247" s="48"/>
      <c r="H247" s="45"/>
      <c r="I247" s="45"/>
      <c r="J247" s="49"/>
      <c r="K247" s="45"/>
      <c r="L247" s="45"/>
      <c r="M247" s="49"/>
      <c r="N247" s="45"/>
      <c r="O247" s="45"/>
    </row>
    <row r="248" spans="1:15">
      <c r="A248" s="50"/>
      <c r="B248" s="50"/>
      <c r="C248" s="51"/>
      <c r="D248" s="52"/>
      <c r="E248" s="46">
        <f t="shared" si="6"/>
        <v>0</v>
      </c>
      <c r="F248" s="50"/>
      <c r="G248" s="53"/>
      <c r="H248" s="50"/>
      <c r="I248" s="50"/>
      <c r="J248" s="54"/>
      <c r="K248" s="50"/>
      <c r="L248" s="50"/>
      <c r="M248" s="54"/>
      <c r="N248" s="50"/>
      <c r="O248" s="50"/>
    </row>
    <row r="249" spans="1:15">
      <c r="A249" s="45"/>
      <c r="B249" s="45"/>
      <c r="C249" s="46"/>
      <c r="D249" s="47"/>
      <c r="E249" s="46">
        <f t="shared" si="6"/>
        <v>0</v>
      </c>
      <c r="F249" s="45"/>
      <c r="G249" s="48"/>
      <c r="H249" s="45"/>
      <c r="I249" s="45"/>
      <c r="J249" s="49"/>
      <c r="K249" s="45"/>
      <c r="L249" s="45"/>
      <c r="M249" s="49"/>
      <c r="N249" s="45"/>
      <c r="O249" s="45"/>
    </row>
    <row r="250" spans="1:15">
      <c r="A250" s="50"/>
      <c r="B250" s="50"/>
      <c r="C250" s="51"/>
      <c r="D250" s="52"/>
      <c r="E250" s="46">
        <f t="shared" si="6"/>
        <v>0</v>
      </c>
      <c r="F250" s="50"/>
      <c r="G250" s="53"/>
      <c r="H250" s="50"/>
      <c r="I250" s="50"/>
      <c r="J250" s="54"/>
      <c r="K250" s="50"/>
      <c r="L250" s="50"/>
      <c r="M250" s="54"/>
      <c r="N250" s="50"/>
      <c r="O250" s="50"/>
    </row>
    <row r="251" spans="1:15">
      <c r="A251" s="45"/>
      <c r="B251" s="45"/>
      <c r="C251" s="46"/>
      <c r="D251" s="47"/>
      <c r="E251" s="46">
        <f t="shared" si="6"/>
        <v>0</v>
      </c>
      <c r="F251" s="45"/>
      <c r="G251" s="48"/>
      <c r="H251" s="45"/>
      <c r="I251" s="45"/>
      <c r="J251" s="49"/>
      <c r="K251" s="45"/>
      <c r="L251" s="45"/>
      <c r="M251" s="49"/>
      <c r="N251" s="45"/>
      <c r="O251" s="45"/>
    </row>
    <row r="252" spans="1:15">
      <c r="A252" s="50"/>
      <c r="B252" s="50"/>
      <c r="C252" s="51"/>
      <c r="D252" s="52"/>
      <c r="E252" s="46">
        <f t="shared" si="6"/>
        <v>0</v>
      </c>
      <c r="F252" s="50"/>
      <c r="G252" s="53"/>
      <c r="H252" s="50"/>
      <c r="I252" s="50"/>
      <c r="J252" s="54"/>
      <c r="K252" s="50"/>
      <c r="L252" s="50"/>
      <c r="M252" s="54"/>
      <c r="N252" s="50"/>
      <c r="O252" s="50"/>
    </row>
    <row r="253" spans="1:15">
      <c r="A253" s="45"/>
      <c r="B253" s="45"/>
      <c r="C253" s="46"/>
      <c r="D253" s="47"/>
      <c r="E253" s="46">
        <f t="shared" si="6"/>
        <v>0</v>
      </c>
      <c r="F253" s="45"/>
      <c r="G253" s="48"/>
      <c r="H253" s="45"/>
      <c r="I253" s="45"/>
      <c r="J253" s="49"/>
      <c r="K253" s="45"/>
      <c r="L253" s="45"/>
      <c r="M253" s="49"/>
      <c r="N253" s="45"/>
      <c r="O253" s="45"/>
    </row>
    <row r="254" spans="1:15">
      <c r="A254" s="50"/>
      <c r="B254" s="50"/>
      <c r="C254" s="51"/>
      <c r="D254" s="52"/>
      <c r="E254" s="46">
        <f t="shared" si="6"/>
        <v>0</v>
      </c>
      <c r="F254" s="50"/>
      <c r="G254" s="53"/>
      <c r="H254" s="50"/>
      <c r="I254" s="50"/>
      <c r="J254" s="54"/>
      <c r="K254" s="50"/>
      <c r="L254" s="50"/>
      <c r="M254" s="54"/>
      <c r="N254" s="50"/>
      <c r="O254" s="50"/>
    </row>
    <row r="255" spans="1:15">
      <c r="A255" s="45"/>
      <c r="B255" s="45"/>
      <c r="C255" s="46"/>
      <c r="D255" s="47"/>
      <c r="E255" s="46">
        <f t="shared" si="6"/>
        <v>0</v>
      </c>
      <c r="F255" s="45"/>
      <c r="G255" s="48"/>
      <c r="H255" s="45"/>
      <c r="I255" s="45"/>
      <c r="J255" s="49"/>
      <c r="K255" s="45"/>
      <c r="L255" s="45"/>
      <c r="M255" s="49"/>
      <c r="N255" s="45"/>
      <c r="O255" s="45"/>
    </row>
    <row r="256" spans="1:15">
      <c r="A256" s="50"/>
      <c r="B256" s="50"/>
      <c r="C256" s="51"/>
      <c r="D256" s="52"/>
      <c r="E256" s="46">
        <f t="shared" si="6"/>
        <v>0</v>
      </c>
      <c r="F256" s="50"/>
      <c r="G256" s="53"/>
      <c r="H256" s="50"/>
      <c r="I256" s="50"/>
      <c r="J256" s="54"/>
      <c r="K256" s="50"/>
      <c r="L256" s="50"/>
      <c r="M256" s="54"/>
      <c r="N256" s="50"/>
      <c r="O256" s="50"/>
    </row>
    <row r="257" spans="1:15">
      <c r="A257" s="45"/>
      <c r="B257" s="45"/>
      <c r="C257" s="46"/>
      <c r="D257" s="47"/>
      <c r="E257" s="46">
        <f t="shared" si="6"/>
        <v>0</v>
      </c>
      <c r="F257" s="45"/>
      <c r="G257" s="48"/>
      <c r="H257" s="45"/>
      <c r="I257" s="45"/>
      <c r="J257" s="49"/>
      <c r="K257" s="45"/>
      <c r="L257" s="45"/>
      <c r="M257" s="49"/>
      <c r="N257" s="45"/>
      <c r="O257" s="45"/>
    </row>
    <row r="258" spans="1:15">
      <c r="A258" s="50"/>
      <c r="B258" s="50"/>
      <c r="C258" s="51"/>
      <c r="D258" s="52"/>
      <c r="E258" s="46">
        <f t="shared" si="6"/>
        <v>0</v>
      </c>
      <c r="F258" s="50"/>
      <c r="G258" s="53"/>
      <c r="H258" s="50"/>
      <c r="I258" s="50"/>
      <c r="J258" s="54"/>
      <c r="K258" s="50"/>
      <c r="L258" s="50"/>
      <c r="M258" s="54"/>
      <c r="N258" s="50"/>
      <c r="O258" s="50"/>
    </row>
    <row r="259" spans="1:15">
      <c r="A259" s="45"/>
      <c r="B259" s="45"/>
      <c r="C259" s="46"/>
      <c r="D259" s="47"/>
      <c r="E259" s="46">
        <f t="shared" si="6"/>
        <v>0</v>
      </c>
      <c r="F259" s="45"/>
      <c r="G259" s="48"/>
      <c r="H259" s="45"/>
      <c r="I259" s="45"/>
      <c r="J259" s="49"/>
      <c r="K259" s="45"/>
      <c r="L259" s="45"/>
      <c r="M259" s="49"/>
      <c r="N259" s="45"/>
      <c r="O259" s="45"/>
    </row>
    <row r="260" spans="1:15">
      <c r="A260" s="50"/>
      <c r="B260" s="50"/>
      <c r="C260" s="51"/>
      <c r="D260" s="52"/>
      <c r="E260" s="46">
        <f t="shared" si="6"/>
        <v>0</v>
      </c>
      <c r="F260" s="50"/>
      <c r="G260" s="53"/>
      <c r="H260" s="50"/>
      <c r="I260" s="50"/>
      <c r="J260" s="54"/>
      <c r="K260" s="50"/>
      <c r="L260" s="50"/>
      <c r="M260" s="54"/>
      <c r="N260" s="50"/>
      <c r="O260" s="50"/>
    </row>
    <row r="261" spans="1:15">
      <c r="A261" s="45"/>
      <c r="B261" s="45"/>
      <c r="C261" s="46"/>
      <c r="D261" s="47"/>
      <c r="E261" s="46">
        <f t="shared" si="6"/>
        <v>0</v>
      </c>
      <c r="F261" s="45"/>
      <c r="G261" s="48"/>
      <c r="H261" s="45"/>
      <c r="I261" s="45"/>
      <c r="J261" s="49"/>
      <c r="K261" s="45"/>
      <c r="L261" s="45"/>
      <c r="M261" s="49"/>
      <c r="N261" s="45"/>
      <c r="O261" s="45"/>
    </row>
    <row r="262" spans="1:15">
      <c r="A262" s="50"/>
      <c r="B262" s="50"/>
      <c r="C262" s="51"/>
      <c r="D262" s="52"/>
      <c r="E262" s="46">
        <f t="shared" si="6"/>
        <v>0</v>
      </c>
      <c r="F262" s="50"/>
      <c r="G262" s="53"/>
      <c r="H262" s="50"/>
      <c r="I262" s="50"/>
      <c r="J262" s="54"/>
      <c r="K262" s="50"/>
      <c r="L262" s="50"/>
      <c r="M262" s="54"/>
      <c r="N262" s="50"/>
      <c r="O262" s="50"/>
    </row>
    <row r="263" spans="1:15">
      <c r="A263" s="45"/>
      <c r="B263" s="45"/>
      <c r="C263" s="46"/>
      <c r="D263" s="47"/>
      <c r="E263" s="46">
        <f t="shared" si="6"/>
        <v>0</v>
      </c>
      <c r="F263" s="45"/>
      <c r="G263" s="48"/>
      <c r="H263" s="45"/>
      <c r="I263" s="45"/>
      <c r="J263" s="49"/>
      <c r="K263" s="45"/>
      <c r="L263" s="45"/>
      <c r="M263" s="49"/>
      <c r="N263" s="45"/>
      <c r="O263" s="45"/>
    </row>
    <row r="264" spans="1:15">
      <c r="A264" s="50"/>
      <c r="B264" s="50"/>
      <c r="C264" s="51"/>
      <c r="D264" s="52"/>
      <c r="E264" s="46">
        <f t="shared" si="6"/>
        <v>0</v>
      </c>
      <c r="F264" s="50"/>
      <c r="G264" s="53"/>
      <c r="H264" s="50"/>
      <c r="I264" s="50"/>
      <c r="J264" s="54"/>
      <c r="K264" s="50"/>
      <c r="L264" s="50"/>
      <c r="M264" s="54"/>
      <c r="N264" s="50"/>
      <c r="O264" s="50"/>
    </row>
    <row r="265" spans="1:15">
      <c r="A265" s="45"/>
      <c r="B265" s="45"/>
      <c r="C265" s="46"/>
      <c r="D265" s="47"/>
      <c r="E265" s="46">
        <f t="shared" si="6"/>
        <v>0</v>
      </c>
      <c r="F265" s="45"/>
      <c r="G265" s="48"/>
      <c r="H265" s="45"/>
      <c r="I265" s="45"/>
      <c r="J265" s="49"/>
      <c r="K265" s="45"/>
      <c r="L265" s="45"/>
      <c r="M265" s="49"/>
      <c r="N265" s="45"/>
      <c r="O265" s="45"/>
    </row>
    <row r="266" spans="1:15">
      <c r="A266" s="50"/>
      <c r="B266" s="50"/>
      <c r="C266" s="51"/>
      <c r="D266" s="52"/>
      <c r="E266" s="46">
        <f t="shared" si="6"/>
        <v>0</v>
      </c>
      <c r="F266" s="50"/>
      <c r="G266" s="53"/>
      <c r="H266" s="50"/>
      <c r="I266" s="50"/>
      <c r="J266" s="54"/>
      <c r="K266" s="50"/>
      <c r="L266" s="50"/>
      <c r="M266" s="54"/>
      <c r="N266" s="50"/>
      <c r="O266" s="50"/>
    </row>
    <row r="267" spans="1:15">
      <c r="A267" s="45"/>
      <c r="B267" s="45"/>
      <c r="C267" s="46"/>
      <c r="D267" s="47"/>
      <c r="E267" s="46">
        <f t="shared" si="6"/>
        <v>0</v>
      </c>
      <c r="F267" s="45"/>
      <c r="G267" s="48"/>
      <c r="H267" s="45"/>
      <c r="I267" s="45"/>
      <c r="J267" s="49"/>
      <c r="K267" s="45"/>
      <c r="L267" s="45"/>
      <c r="M267" s="49"/>
      <c r="N267" s="45"/>
      <c r="O267" s="45"/>
    </row>
    <row r="268" spans="1:15">
      <c r="A268" s="50"/>
      <c r="B268" s="50"/>
      <c r="C268" s="51"/>
      <c r="D268" s="52"/>
      <c r="E268" s="46">
        <f t="shared" si="6"/>
        <v>0</v>
      </c>
      <c r="F268" s="50"/>
      <c r="G268" s="53"/>
      <c r="H268" s="50"/>
      <c r="I268" s="50"/>
      <c r="J268" s="54"/>
      <c r="K268" s="50"/>
      <c r="L268" s="50"/>
      <c r="M268" s="54"/>
      <c r="N268" s="50"/>
      <c r="O268" s="50"/>
    </row>
    <row r="269" spans="1:15">
      <c r="A269" s="45"/>
      <c r="B269" s="45"/>
      <c r="C269" s="46"/>
      <c r="D269" s="47"/>
      <c r="E269" s="46">
        <f t="shared" si="6"/>
        <v>0</v>
      </c>
      <c r="F269" s="45"/>
      <c r="G269" s="48"/>
      <c r="H269" s="45"/>
      <c r="I269" s="45"/>
      <c r="J269" s="49"/>
      <c r="K269" s="45"/>
      <c r="L269" s="45"/>
      <c r="M269" s="49"/>
      <c r="N269" s="45"/>
      <c r="O269" s="45"/>
    </row>
    <row r="270" spans="1:15">
      <c r="A270" s="50"/>
      <c r="B270" s="50"/>
      <c r="C270" s="51"/>
      <c r="D270" s="52"/>
      <c r="E270" s="46">
        <f t="shared" si="6"/>
        <v>0</v>
      </c>
      <c r="F270" s="50"/>
      <c r="G270" s="53"/>
      <c r="H270" s="50"/>
      <c r="I270" s="50"/>
      <c r="J270" s="54"/>
      <c r="K270" s="50"/>
      <c r="L270" s="50"/>
      <c r="M270" s="54"/>
      <c r="N270" s="50"/>
      <c r="O270" s="50"/>
    </row>
    <row r="271" spans="1:15">
      <c r="A271" s="45"/>
      <c r="B271" s="45"/>
      <c r="C271" s="46"/>
      <c r="D271" s="47"/>
      <c r="E271" s="46">
        <f t="shared" si="6"/>
        <v>0</v>
      </c>
      <c r="F271" s="45"/>
      <c r="G271" s="48"/>
      <c r="H271" s="45"/>
      <c r="I271" s="45"/>
      <c r="J271" s="49"/>
      <c r="K271" s="45"/>
      <c r="L271" s="45"/>
      <c r="M271" s="49"/>
      <c r="N271" s="45"/>
      <c r="O271" s="45"/>
    </row>
    <row r="272" spans="1:15">
      <c r="A272" s="50"/>
      <c r="B272" s="50"/>
      <c r="C272" s="51"/>
      <c r="D272" s="52"/>
      <c r="E272" s="46">
        <f t="shared" si="6"/>
        <v>0</v>
      </c>
      <c r="F272" s="50"/>
      <c r="G272" s="53"/>
      <c r="H272" s="50"/>
      <c r="I272" s="50"/>
      <c r="J272" s="54"/>
      <c r="K272" s="50"/>
      <c r="L272" s="50"/>
      <c r="M272" s="54"/>
      <c r="N272" s="50"/>
      <c r="O272" s="50"/>
    </row>
    <row r="273" spans="1:15">
      <c r="A273" s="45"/>
      <c r="B273" s="45"/>
      <c r="C273" s="46"/>
      <c r="D273" s="47"/>
      <c r="E273" s="46">
        <f t="shared" si="6"/>
        <v>0</v>
      </c>
      <c r="F273" s="45"/>
      <c r="G273" s="48"/>
      <c r="H273" s="45"/>
      <c r="I273" s="45"/>
      <c r="J273" s="49"/>
      <c r="K273" s="45"/>
      <c r="L273" s="45"/>
      <c r="M273" s="49"/>
      <c r="N273" s="45"/>
      <c r="O273" s="45"/>
    </row>
    <row r="274" spans="1:15">
      <c r="A274" s="50"/>
      <c r="B274" s="50"/>
      <c r="C274" s="51"/>
      <c r="D274" s="52"/>
      <c r="E274" s="46">
        <f t="shared" si="6"/>
        <v>0</v>
      </c>
      <c r="F274" s="50"/>
      <c r="G274" s="53"/>
      <c r="H274" s="50"/>
      <c r="I274" s="50"/>
      <c r="J274" s="54"/>
      <c r="K274" s="50"/>
      <c r="L274" s="50"/>
      <c r="M274" s="54"/>
      <c r="N274" s="50"/>
      <c r="O274" s="50"/>
    </row>
    <row r="275" spans="1:15">
      <c r="A275" s="45"/>
      <c r="B275" s="45"/>
      <c r="C275" s="46"/>
      <c r="D275" s="46">
        <f t="shared" ref="D275:D290" si="7">C275*B275</f>
        <v>0</v>
      </c>
      <c r="E275" s="46" t="str">
        <f t="shared" ref="E275:E290" si="8">IF(OR(C275="",D275=""),"",C275*D275)</f>
        <v/>
      </c>
      <c r="F275" s="45"/>
      <c r="G275" s="48"/>
      <c r="H275" s="45"/>
      <c r="I275" s="45"/>
      <c r="J275" s="49"/>
      <c r="K275" s="45"/>
      <c r="L275" s="45"/>
      <c r="M275" s="49"/>
      <c r="N275" s="45"/>
      <c r="O275" s="45"/>
    </row>
    <row r="276" spans="1:15">
      <c r="A276" s="50"/>
      <c r="B276" s="50"/>
      <c r="C276" s="51"/>
      <c r="D276" s="46">
        <f t="shared" si="7"/>
        <v>0</v>
      </c>
      <c r="E276" s="51" t="str">
        <f t="shared" si="8"/>
        <v/>
      </c>
      <c r="F276" s="50"/>
      <c r="G276" s="53"/>
      <c r="H276" s="50"/>
      <c r="I276" s="50"/>
      <c r="J276" s="54"/>
      <c r="K276" s="50"/>
      <c r="L276" s="50"/>
      <c r="M276" s="54"/>
      <c r="N276" s="50"/>
      <c r="O276" s="50"/>
    </row>
    <row r="277" spans="1:15">
      <c r="A277" s="45"/>
      <c r="B277" s="45"/>
      <c r="C277" s="46"/>
      <c r="D277" s="46">
        <f t="shared" si="7"/>
        <v>0</v>
      </c>
      <c r="E277" s="46" t="str">
        <f t="shared" si="8"/>
        <v/>
      </c>
      <c r="F277" s="45"/>
      <c r="G277" s="48"/>
      <c r="H277" s="45"/>
      <c r="I277" s="45"/>
      <c r="J277" s="49"/>
      <c r="K277" s="45"/>
      <c r="L277" s="45"/>
      <c r="M277" s="49"/>
      <c r="N277" s="45"/>
      <c r="O277" s="45"/>
    </row>
    <row r="278" spans="1:15">
      <c r="A278" s="50"/>
      <c r="B278" s="50"/>
      <c r="C278" s="51"/>
      <c r="D278" s="46">
        <f t="shared" si="7"/>
        <v>0</v>
      </c>
      <c r="E278" s="51" t="str">
        <f t="shared" si="8"/>
        <v/>
      </c>
      <c r="F278" s="50"/>
      <c r="G278" s="53"/>
      <c r="H278" s="50"/>
      <c r="I278" s="50"/>
      <c r="J278" s="54"/>
      <c r="K278" s="50"/>
      <c r="L278" s="50"/>
      <c r="M278" s="54"/>
      <c r="N278" s="50"/>
      <c r="O278" s="50"/>
    </row>
    <row r="279" spans="1:15">
      <c r="A279" s="45"/>
      <c r="B279" s="45"/>
      <c r="C279" s="46"/>
      <c r="D279" s="46">
        <f t="shared" si="7"/>
        <v>0</v>
      </c>
      <c r="E279" s="46" t="str">
        <f t="shared" si="8"/>
        <v/>
      </c>
      <c r="F279" s="45"/>
      <c r="G279" s="48"/>
      <c r="H279" s="45"/>
      <c r="I279" s="45"/>
      <c r="J279" s="49"/>
      <c r="K279" s="45"/>
      <c r="L279" s="45"/>
      <c r="M279" s="49"/>
      <c r="N279" s="45"/>
      <c r="O279" s="45"/>
    </row>
    <row r="280" spans="1:15">
      <c r="A280" s="50"/>
      <c r="B280" s="50"/>
      <c r="C280" s="51"/>
      <c r="D280" s="46">
        <f t="shared" si="7"/>
        <v>0</v>
      </c>
      <c r="E280" s="51" t="str">
        <f t="shared" si="8"/>
        <v/>
      </c>
      <c r="F280" s="50"/>
      <c r="G280" s="53"/>
      <c r="H280" s="50"/>
      <c r="I280" s="50"/>
      <c r="J280" s="54"/>
      <c r="K280" s="50"/>
      <c r="L280" s="50"/>
      <c r="M280" s="54"/>
      <c r="N280" s="50"/>
      <c r="O280" s="50"/>
    </row>
    <row r="281" spans="1:15">
      <c r="A281" s="45"/>
      <c r="B281" s="45"/>
      <c r="C281" s="46"/>
      <c r="D281" s="46">
        <f t="shared" si="7"/>
        <v>0</v>
      </c>
      <c r="E281" s="46" t="str">
        <f t="shared" si="8"/>
        <v/>
      </c>
      <c r="F281" s="45"/>
      <c r="G281" s="48"/>
      <c r="H281" s="45"/>
      <c r="I281" s="45"/>
      <c r="J281" s="49"/>
      <c r="K281" s="45"/>
      <c r="L281" s="45"/>
      <c r="M281" s="49"/>
      <c r="N281" s="45"/>
      <c r="O281" s="45"/>
    </row>
    <row r="282" spans="1:15">
      <c r="A282" s="50"/>
      <c r="B282" s="50"/>
      <c r="C282" s="51"/>
      <c r="D282" s="46">
        <f t="shared" si="7"/>
        <v>0</v>
      </c>
      <c r="E282" s="51" t="str">
        <f t="shared" si="8"/>
        <v/>
      </c>
      <c r="F282" s="50"/>
      <c r="G282" s="53"/>
      <c r="H282" s="50"/>
      <c r="I282" s="50"/>
      <c r="J282" s="54"/>
      <c r="K282" s="50"/>
      <c r="L282" s="50"/>
      <c r="M282" s="54"/>
      <c r="N282" s="50"/>
      <c r="O282" s="50"/>
    </row>
    <row r="283" spans="1:15">
      <c r="A283" s="45"/>
      <c r="B283" s="45"/>
      <c r="C283" s="46"/>
      <c r="D283" s="46">
        <f t="shared" si="7"/>
        <v>0</v>
      </c>
      <c r="E283" s="46" t="str">
        <f t="shared" si="8"/>
        <v/>
      </c>
      <c r="F283" s="45"/>
      <c r="G283" s="48"/>
      <c r="H283" s="45"/>
      <c r="I283" s="45"/>
      <c r="J283" s="49"/>
      <c r="K283" s="45"/>
      <c r="L283" s="45"/>
      <c r="M283" s="49"/>
      <c r="N283" s="45"/>
      <c r="O283" s="45"/>
    </row>
    <row r="284" spans="1:15">
      <c r="A284" s="50"/>
      <c r="B284" s="50"/>
      <c r="C284" s="51"/>
      <c r="D284" s="46">
        <f t="shared" si="7"/>
        <v>0</v>
      </c>
      <c r="E284" s="51" t="str">
        <f t="shared" si="8"/>
        <v/>
      </c>
      <c r="F284" s="50"/>
      <c r="G284" s="53"/>
      <c r="H284" s="50"/>
      <c r="I284" s="50"/>
      <c r="J284" s="54"/>
      <c r="K284" s="50"/>
      <c r="L284" s="50"/>
      <c r="M284" s="54"/>
      <c r="N284" s="50"/>
      <c r="O284" s="50"/>
    </row>
    <row r="285" spans="1:15">
      <c r="A285" s="45"/>
      <c r="B285" s="45"/>
      <c r="C285" s="46"/>
      <c r="D285" s="46">
        <f t="shared" si="7"/>
        <v>0</v>
      </c>
      <c r="E285" s="46" t="str">
        <f t="shared" si="8"/>
        <v/>
      </c>
      <c r="F285" s="45"/>
      <c r="G285" s="48"/>
      <c r="H285" s="45"/>
      <c r="I285" s="45"/>
      <c r="J285" s="49"/>
      <c r="K285" s="45"/>
      <c r="L285" s="45"/>
      <c r="M285" s="49"/>
      <c r="N285" s="45"/>
      <c r="O285" s="45"/>
    </row>
    <row r="286" spans="1:15">
      <c r="A286" s="50"/>
      <c r="B286" s="50"/>
      <c r="C286" s="51"/>
      <c r="D286" s="46">
        <f t="shared" si="7"/>
        <v>0</v>
      </c>
      <c r="E286" s="51" t="str">
        <f t="shared" si="8"/>
        <v/>
      </c>
      <c r="F286" s="50"/>
      <c r="G286" s="53"/>
      <c r="H286" s="50"/>
      <c r="I286" s="50"/>
      <c r="J286" s="54"/>
      <c r="K286" s="50"/>
      <c r="L286" s="50"/>
      <c r="M286" s="54"/>
      <c r="N286" s="50"/>
      <c r="O286" s="50"/>
    </row>
    <row r="287" spans="1:15">
      <c r="A287" s="45"/>
      <c r="B287" s="45"/>
      <c r="C287" s="46"/>
      <c r="D287" s="46">
        <f t="shared" si="7"/>
        <v>0</v>
      </c>
      <c r="E287" s="46" t="str">
        <f t="shared" si="8"/>
        <v/>
      </c>
      <c r="F287" s="45"/>
      <c r="G287" s="48"/>
      <c r="H287" s="45"/>
      <c r="I287" s="45"/>
      <c r="J287" s="49"/>
      <c r="K287" s="45"/>
      <c r="L287" s="45"/>
      <c r="M287" s="49"/>
      <c r="N287" s="45"/>
      <c r="O287" s="45"/>
    </row>
    <row r="288" spans="1:15">
      <c r="A288" s="50"/>
      <c r="B288" s="50"/>
      <c r="C288" s="51"/>
      <c r="D288" s="46">
        <f t="shared" si="7"/>
        <v>0</v>
      </c>
      <c r="E288" s="51" t="str">
        <f t="shared" si="8"/>
        <v/>
      </c>
      <c r="F288" s="50"/>
      <c r="G288" s="53"/>
      <c r="H288" s="50"/>
      <c r="I288" s="50"/>
      <c r="J288" s="54"/>
      <c r="K288" s="50"/>
      <c r="L288" s="50"/>
      <c r="M288" s="54"/>
      <c r="N288" s="50"/>
      <c r="O288" s="50"/>
    </row>
    <row r="289" spans="1:15">
      <c r="A289" s="45"/>
      <c r="B289" s="45"/>
      <c r="C289" s="46"/>
      <c r="D289" s="46">
        <f t="shared" si="7"/>
        <v>0</v>
      </c>
      <c r="E289" s="46" t="str">
        <f t="shared" si="8"/>
        <v/>
      </c>
      <c r="F289" s="45"/>
      <c r="G289" s="48"/>
      <c r="H289" s="45"/>
      <c r="I289" s="45"/>
      <c r="J289" s="49"/>
      <c r="K289" s="45"/>
      <c r="L289" s="45"/>
      <c r="M289" s="49"/>
      <c r="N289" s="45"/>
      <c r="O289" s="45"/>
    </row>
    <row r="290" spans="1:15">
      <c r="A290" s="50"/>
      <c r="B290" s="50"/>
      <c r="C290" s="51"/>
      <c r="D290" s="46">
        <f t="shared" si="7"/>
        <v>0</v>
      </c>
      <c r="E290" s="51" t="str">
        <f t="shared" si="8"/>
        <v/>
      </c>
      <c r="F290" s="50"/>
      <c r="G290" s="53"/>
      <c r="H290" s="50"/>
      <c r="I290" s="50"/>
      <c r="J290" s="54"/>
      <c r="K290" s="50"/>
      <c r="L290" s="50"/>
      <c r="M290" s="54"/>
      <c r="N290" s="50"/>
      <c r="O290" s="50"/>
    </row>
    <row r="291" spans="1:15">
      <c r="A291" s="117"/>
      <c r="B291" s="117"/>
      <c r="C291" s="117"/>
      <c r="D291" s="117"/>
      <c r="E291" s="63" t="str">
        <f t="shared" ref="E291:E306" si="9">IF(OR(C291="",D291=""),"",C291*D291)</f>
        <v/>
      </c>
      <c r="F291" s="117"/>
      <c r="G291" s="117"/>
      <c r="H291" s="117"/>
      <c r="I291" s="117"/>
      <c r="J291" s="117"/>
      <c r="K291" s="117"/>
      <c r="L291" s="117"/>
      <c r="M291" s="117"/>
      <c r="N291" s="117"/>
      <c r="O291" s="117"/>
    </row>
    <row r="292" spans="1:15">
      <c r="A292" s="117"/>
      <c r="B292" s="117"/>
      <c r="C292" s="117"/>
      <c r="D292" s="117"/>
      <c r="E292" s="63" t="str">
        <f t="shared" si="9"/>
        <v/>
      </c>
      <c r="F292" s="117"/>
      <c r="G292" s="117"/>
      <c r="H292" s="117"/>
      <c r="I292" s="117"/>
      <c r="J292" s="117"/>
      <c r="K292" s="117"/>
      <c r="L292" s="117"/>
      <c r="M292" s="117"/>
      <c r="N292" s="117"/>
      <c r="O292" s="117"/>
    </row>
    <row r="293" spans="1:15">
      <c r="A293" s="117"/>
      <c r="B293" s="117"/>
      <c r="C293" s="117"/>
      <c r="D293" s="117"/>
      <c r="E293" s="63" t="str">
        <f t="shared" si="9"/>
        <v/>
      </c>
      <c r="F293" s="117"/>
      <c r="G293" s="117"/>
      <c r="H293" s="117"/>
      <c r="I293" s="117"/>
      <c r="J293" s="117"/>
      <c r="K293" s="117"/>
      <c r="L293" s="117"/>
      <c r="M293" s="117"/>
      <c r="N293" s="117"/>
      <c r="O293" s="117"/>
    </row>
    <row r="294" spans="1:15">
      <c r="A294" s="117"/>
      <c r="B294" s="117"/>
      <c r="C294" s="117"/>
      <c r="D294" s="117"/>
      <c r="E294" s="63" t="str">
        <f t="shared" si="9"/>
        <v/>
      </c>
      <c r="F294" s="117"/>
      <c r="G294" s="117"/>
      <c r="H294" s="117"/>
      <c r="I294" s="117"/>
      <c r="J294" s="117"/>
      <c r="K294" s="117"/>
      <c r="L294" s="117"/>
      <c r="M294" s="117"/>
      <c r="N294" s="117"/>
      <c r="O294" s="117"/>
    </row>
    <row r="295" spans="1:15">
      <c r="A295" s="117"/>
      <c r="B295" s="117"/>
      <c r="C295" s="117"/>
      <c r="D295" s="117"/>
      <c r="E295" s="63" t="str">
        <f t="shared" si="9"/>
        <v/>
      </c>
      <c r="F295" s="117"/>
      <c r="G295" s="117"/>
      <c r="H295" s="117"/>
      <c r="I295" s="117"/>
      <c r="J295" s="117"/>
      <c r="K295" s="117"/>
      <c r="L295" s="117"/>
      <c r="M295" s="117"/>
      <c r="N295" s="117"/>
      <c r="O295" s="117"/>
    </row>
    <row r="296" spans="1:15">
      <c r="A296" s="117"/>
      <c r="B296" s="117"/>
      <c r="C296" s="117"/>
      <c r="D296" s="117"/>
      <c r="E296" s="63" t="str">
        <f t="shared" si="9"/>
        <v/>
      </c>
      <c r="F296" s="117"/>
      <c r="G296" s="117"/>
      <c r="H296" s="117"/>
      <c r="I296" s="117"/>
      <c r="J296" s="117"/>
      <c r="K296" s="117"/>
      <c r="L296" s="117"/>
      <c r="M296" s="117"/>
      <c r="N296" s="117"/>
      <c r="O296" s="117"/>
    </row>
    <row r="297" spans="1:15">
      <c r="A297" s="117"/>
      <c r="B297" s="117"/>
      <c r="C297" s="117"/>
      <c r="D297" s="117"/>
      <c r="E297" s="63" t="str">
        <f t="shared" si="9"/>
        <v/>
      </c>
      <c r="F297" s="117"/>
      <c r="G297" s="117"/>
      <c r="H297" s="117"/>
      <c r="I297" s="117"/>
      <c r="J297" s="117"/>
      <c r="K297" s="117"/>
      <c r="L297" s="117"/>
      <c r="M297" s="117"/>
      <c r="N297" s="117"/>
      <c r="O297" s="117"/>
    </row>
    <row r="298" spans="1:15">
      <c r="A298" s="117"/>
      <c r="B298" s="117"/>
      <c r="C298" s="117"/>
      <c r="D298" s="117"/>
      <c r="E298" s="63" t="str">
        <f t="shared" si="9"/>
        <v/>
      </c>
      <c r="F298" s="117"/>
      <c r="G298" s="117"/>
      <c r="H298" s="117"/>
      <c r="I298" s="117"/>
      <c r="J298" s="117"/>
      <c r="K298" s="117"/>
      <c r="L298" s="117"/>
      <c r="M298" s="117"/>
      <c r="N298" s="117"/>
      <c r="O298" s="117"/>
    </row>
    <row r="299" spans="1:15">
      <c r="A299" s="117"/>
      <c r="B299" s="117"/>
      <c r="C299" s="117"/>
      <c r="D299" s="117"/>
      <c r="E299" s="63" t="str">
        <f t="shared" si="9"/>
        <v/>
      </c>
      <c r="F299" s="117"/>
      <c r="G299" s="117"/>
      <c r="H299" s="117"/>
      <c r="I299" s="117"/>
      <c r="J299" s="117"/>
      <c r="K299" s="117"/>
      <c r="L299" s="117"/>
      <c r="M299" s="117"/>
      <c r="N299" s="117"/>
      <c r="O299" s="117"/>
    </row>
    <row r="300" spans="1:15">
      <c r="A300" s="117"/>
      <c r="B300" s="117"/>
      <c r="C300" s="117"/>
      <c r="D300" s="117"/>
      <c r="E300" s="63" t="str">
        <f t="shared" si="9"/>
        <v/>
      </c>
      <c r="F300" s="117"/>
      <c r="G300" s="117"/>
      <c r="H300" s="117"/>
      <c r="I300" s="117"/>
      <c r="J300" s="117"/>
      <c r="K300" s="117"/>
      <c r="L300" s="117"/>
      <c r="M300" s="117"/>
      <c r="N300" s="117"/>
      <c r="O300" s="117"/>
    </row>
    <row r="301" spans="1:15">
      <c r="A301" s="117"/>
      <c r="B301" s="117"/>
      <c r="C301" s="117"/>
      <c r="D301" s="117"/>
      <c r="E301" s="63" t="str">
        <f t="shared" si="9"/>
        <v/>
      </c>
      <c r="F301" s="117"/>
      <c r="G301" s="117"/>
      <c r="H301" s="117"/>
      <c r="I301" s="117"/>
      <c r="J301" s="117"/>
      <c r="K301" s="117"/>
      <c r="L301" s="117"/>
      <c r="M301" s="117"/>
      <c r="N301" s="117"/>
      <c r="O301" s="117"/>
    </row>
    <row r="302" spans="1:15">
      <c r="A302" s="117"/>
      <c r="B302" s="117"/>
      <c r="C302" s="117"/>
      <c r="D302" s="117"/>
      <c r="E302" s="63" t="str">
        <f t="shared" si="9"/>
        <v/>
      </c>
      <c r="F302" s="117"/>
      <c r="G302" s="117"/>
      <c r="H302" s="117"/>
      <c r="I302" s="117"/>
      <c r="J302" s="117"/>
      <c r="K302" s="117"/>
      <c r="L302" s="117"/>
      <c r="M302" s="117"/>
      <c r="N302" s="117"/>
      <c r="O302" s="117"/>
    </row>
    <row r="303" spans="1:15">
      <c r="A303" s="117"/>
      <c r="B303" s="117"/>
      <c r="C303" s="117"/>
      <c r="D303" s="117"/>
      <c r="E303" s="63" t="str">
        <f t="shared" si="9"/>
        <v/>
      </c>
      <c r="F303" s="117"/>
      <c r="G303" s="117"/>
      <c r="H303" s="117"/>
      <c r="I303" s="117"/>
      <c r="J303" s="117"/>
      <c r="K303" s="117"/>
      <c r="L303" s="117"/>
      <c r="M303" s="117"/>
      <c r="N303" s="117"/>
      <c r="O303" s="117"/>
    </row>
    <row r="304" spans="1:15">
      <c r="A304" s="117"/>
      <c r="B304" s="117"/>
      <c r="C304" s="117"/>
      <c r="D304" s="117"/>
      <c r="E304" s="63" t="str">
        <f t="shared" si="9"/>
        <v/>
      </c>
      <c r="F304" s="117"/>
      <c r="G304" s="117"/>
      <c r="H304" s="117"/>
      <c r="I304" s="117"/>
      <c r="J304" s="117"/>
      <c r="K304" s="117"/>
      <c r="L304" s="117"/>
      <c r="M304" s="117"/>
      <c r="N304" s="117"/>
      <c r="O304" s="117"/>
    </row>
    <row r="305" spans="1:15">
      <c r="A305" s="117"/>
      <c r="B305" s="117"/>
      <c r="C305" s="117"/>
      <c r="D305" s="117"/>
      <c r="E305" s="63" t="str">
        <f t="shared" si="9"/>
        <v/>
      </c>
      <c r="F305" s="117"/>
      <c r="G305" s="117"/>
      <c r="H305" s="117"/>
      <c r="I305" s="117"/>
      <c r="J305" s="117"/>
      <c r="K305" s="117"/>
      <c r="L305" s="117"/>
      <c r="M305" s="117"/>
      <c r="N305" s="117"/>
      <c r="O305" s="117"/>
    </row>
    <row r="306" spans="1:15">
      <c r="A306" s="117"/>
      <c r="B306" s="117"/>
      <c r="C306" s="117"/>
      <c r="D306" s="117"/>
      <c r="E306" s="63" t="str">
        <f t="shared" si="9"/>
        <v/>
      </c>
      <c r="F306" s="117"/>
      <c r="G306" s="117"/>
      <c r="H306" s="117"/>
      <c r="I306" s="117"/>
      <c r="J306" s="117"/>
      <c r="K306" s="117"/>
      <c r="L306" s="117"/>
      <c r="M306" s="117"/>
      <c r="N306" s="117"/>
      <c r="O306" s="117"/>
    </row>
    <row r="307" spans="1:15">
      <c r="A307" s="117"/>
      <c r="B307" s="117"/>
      <c r="C307" s="117"/>
      <c r="D307" s="117"/>
      <c r="E307" s="63" t="str">
        <f t="shared" ref="E307:E370" si="10">IF(OR(C307="",D307=""),"",C307*D307)</f>
        <v/>
      </c>
      <c r="F307" s="117"/>
      <c r="G307" s="117"/>
      <c r="H307" s="117"/>
      <c r="I307" s="117"/>
      <c r="J307" s="117"/>
      <c r="K307" s="117"/>
      <c r="L307" s="117"/>
      <c r="M307" s="117"/>
      <c r="N307" s="117"/>
      <c r="O307" s="117"/>
    </row>
    <row r="308" spans="1:15">
      <c r="A308" s="117"/>
      <c r="B308" s="117"/>
      <c r="C308" s="117"/>
      <c r="D308" s="117"/>
      <c r="E308" s="63" t="str">
        <f t="shared" si="10"/>
        <v/>
      </c>
      <c r="F308" s="117"/>
      <c r="G308" s="117"/>
      <c r="H308" s="117"/>
      <c r="I308" s="117"/>
      <c r="J308" s="117"/>
      <c r="K308" s="117"/>
      <c r="L308" s="117"/>
      <c r="M308" s="117"/>
      <c r="N308" s="117"/>
      <c r="O308" s="117"/>
    </row>
    <row r="309" spans="1:15">
      <c r="A309" s="117"/>
      <c r="B309" s="117"/>
      <c r="C309" s="117"/>
      <c r="D309" s="117"/>
      <c r="E309" s="63" t="str">
        <f t="shared" si="10"/>
        <v/>
      </c>
      <c r="F309" s="117"/>
      <c r="G309" s="117"/>
      <c r="H309" s="117"/>
      <c r="I309" s="117"/>
      <c r="J309" s="117"/>
      <c r="K309" s="117"/>
      <c r="L309" s="117"/>
      <c r="M309" s="117"/>
      <c r="N309" s="117"/>
      <c r="O309" s="117"/>
    </row>
    <row r="310" spans="1:15">
      <c r="A310" s="117"/>
      <c r="B310" s="117"/>
      <c r="C310" s="117"/>
      <c r="D310" s="117"/>
      <c r="E310" s="63" t="str">
        <f t="shared" si="10"/>
        <v/>
      </c>
      <c r="F310" s="117"/>
      <c r="G310" s="117"/>
      <c r="H310" s="117"/>
      <c r="I310" s="117"/>
      <c r="J310" s="117"/>
      <c r="K310" s="117"/>
      <c r="L310" s="117"/>
      <c r="M310" s="117"/>
      <c r="N310" s="117"/>
      <c r="O310" s="117"/>
    </row>
    <row r="311" spans="1:15">
      <c r="A311" s="117"/>
      <c r="B311" s="117"/>
      <c r="C311" s="117"/>
      <c r="D311" s="117"/>
      <c r="E311" s="63" t="str">
        <f t="shared" si="10"/>
        <v/>
      </c>
      <c r="F311" s="117"/>
      <c r="G311" s="117"/>
      <c r="H311" s="117"/>
      <c r="I311" s="117"/>
      <c r="J311" s="117"/>
      <c r="K311" s="117"/>
      <c r="L311" s="117"/>
      <c r="M311" s="117"/>
      <c r="N311" s="117"/>
      <c r="O311" s="117"/>
    </row>
    <row r="312" spans="1:15">
      <c r="A312" s="117"/>
      <c r="B312" s="117"/>
      <c r="C312" s="117"/>
      <c r="D312" s="117"/>
      <c r="E312" s="63" t="str">
        <f t="shared" si="10"/>
        <v/>
      </c>
      <c r="F312" s="117"/>
      <c r="G312" s="117"/>
      <c r="H312" s="117"/>
      <c r="I312" s="117"/>
      <c r="J312" s="117"/>
      <c r="K312" s="117"/>
      <c r="L312" s="117"/>
      <c r="M312" s="117"/>
      <c r="N312" s="117"/>
      <c r="O312" s="117"/>
    </row>
    <row r="313" spans="1:15">
      <c r="A313" s="117"/>
      <c r="B313" s="117"/>
      <c r="C313" s="117"/>
      <c r="D313" s="117"/>
      <c r="E313" s="63" t="str">
        <f t="shared" si="10"/>
        <v/>
      </c>
      <c r="F313" s="117"/>
      <c r="G313" s="117"/>
      <c r="H313" s="117"/>
      <c r="I313" s="117"/>
      <c r="J313" s="117"/>
      <c r="K313" s="117"/>
      <c r="L313" s="117"/>
      <c r="M313" s="117"/>
      <c r="N313" s="117"/>
      <c r="O313" s="117"/>
    </row>
    <row r="314" spans="1:15">
      <c r="A314" s="117"/>
      <c r="B314" s="117"/>
      <c r="C314" s="117"/>
      <c r="D314" s="117"/>
      <c r="E314" s="63" t="str">
        <f t="shared" si="10"/>
        <v/>
      </c>
      <c r="F314" s="117"/>
      <c r="G314" s="117"/>
      <c r="H314" s="117"/>
      <c r="I314" s="117"/>
      <c r="J314" s="117"/>
      <c r="K314" s="117"/>
      <c r="L314" s="117"/>
      <c r="M314" s="117"/>
      <c r="N314" s="117"/>
      <c r="O314" s="117"/>
    </row>
    <row r="315" spans="1:15">
      <c r="A315" s="117"/>
      <c r="B315" s="117"/>
      <c r="C315" s="117"/>
      <c r="D315" s="117"/>
      <c r="E315" s="63" t="str">
        <f t="shared" si="10"/>
        <v/>
      </c>
      <c r="F315" s="117"/>
      <c r="G315" s="117"/>
      <c r="H315" s="117"/>
      <c r="I315" s="117"/>
      <c r="J315" s="117"/>
      <c r="K315" s="117"/>
      <c r="L315" s="117"/>
      <c r="M315" s="117"/>
      <c r="N315" s="117"/>
      <c r="O315" s="117"/>
    </row>
    <row r="316" spans="1:15">
      <c r="A316" s="117"/>
      <c r="B316" s="117"/>
      <c r="C316" s="117"/>
      <c r="D316" s="117"/>
      <c r="E316" s="63" t="str">
        <f t="shared" si="10"/>
        <v/>
      </c>
      <c r="F316" s="117"/>
      <c r="G316" s="117"/>
      <c r="H316" s="117"/>
      <c r="I316" s="117"/>
      <c r="J316" s="117"/>
      <c r="K316" s="117"/>
      <c r="L316" s="117"/>
      <c r="M316" s="117"/>
      <c r="N316" s="117"/>
      <c r="O316" s="117"/>
    </row>
    <row r="317" spans="1:15">
      <c r="A317" s="117"/>
      <c r="B317" s="117"/>
      <c r="C317" s="117"/>
      <c r="D317" s="117"/>
      <c r="E317" s="63" t="str">
        <f t="shared" si="10"/>
        <v/>
      </c>
      <c r="F317" s="117"/>
      <c r="G317" s="117"/>
      <c r="H317" s="117"/>
      <c r="I317" s="117"/>
      <c r="J317" s="117"/>
      <c r="K317" s="117"/>
      <c r="L317" s="117"/>
      <c r="M317" s="117"/>
      <c r="N317" s="117"/>
      <c r="O317" s="117"/>
    </row>
    <row r="318" spans="1:15">
      <c r="A318" s="117"/>
      <c r="B318" s="117"/>
      <c r="C318" s="117"/>
      <c r="D318" s="117"/>
      <c r="E318" s="63" t="str">
        <f t="shared" si="10"/>
        <v/>
      </c>
      <c r="F318" s="117"/>
      <c r="G318" s="117"/>
      <c r="H318" s="117"/>
      <c r="I318" s="117"/>
      <c r="J318" s="117"/>
      <c r="K318" s="117"/>
      <c r="L318" s="117"/>
      <c r="M318" s="117"/>
      <c r="N318" s="117"/>
      <c r="O318" s="117"/>
    </row>
    <row r="319" spans="1:15">
      <c r="A319" s="117"/>
      <c r="B319" s="117"/>
      <c r="C319" s="117"/>
      <c r="D319" s="117"/>
      <c r="E319" s="63" t="str">
        <f t="shared" si="10"/>
        <v/>
      </c>
      <c r="F319" s="117"/>
      <c r="G319" s="117"/>
      <c r="H319" s="117"/>
      <c r="I319" s="117"/>
      <c r="J319" s="117"/>
      <c r="K319" s="117"/>
      <c r="L319" s="117"/>
      <c r="M319" s="117"/>
      <c r="N319" s="117"/>
      <c r="O319" s="117"/>
    </row>
    <row r="320" spans="1:15">
      <c r="A320" s="117"/>
      <c r="B320" s="117"/>
      <c r="C320" s="117"/>
      <c r="D320" s="117"/>
      <c r="E320" s="63" t="str">
        <f t="shared" si="10"/>
        <v/>
      </c>
      <c r="F320" s="117"/>
      <c r="G320" s="117"/>
      <c r="H320" s="117"/>
      <c r="I320" s="117"/>
      <c r="J320" s="117"/>
      <c r="K320" s="117"/>
      <c r="L320" s="117"/>
      <c r="M320" s="117"/>
      <c r="N320" s="117"/>
      <c r="O320" s="117"/>
    </row>
    <row r="321" spans="1:15">
      <c r="A321" s="117"/>
      <c r="B321" s="117"/>
      <c r="C321" s="117"/>
      <c r="D321" s="117"/>
      <c r="E321" s="63" t="str">
        <f t="shared" si="10"/>
        <v/>
      </c>
      <c r="F321" s="117"/>
      <c r="G321" s="117"/>
      <c r="H321" s="117"/>
      <c r="I321" s="117"/>
      <c r="J321" s="117"/>
      <c r="K321" s="117"/>
      <c r="L321" s="117"/>
      <c r="M321" s="117"/>
      <c r="N321" s="117"/>
      <c r="O321" s="117"/>
    </row>
    <row r="322" spans="1:15">
      <c r="A322" s="117"/>
      <c r="B322" s="117"/>
      <c r="C322" s="117"/>
      <c r="D322" s="117"/>
      <c r="E322" s="63" t="str">
        <f t="shared" si="10"/>
        <v/>
      </c>
      <c r="F322" s="117"/>
      <c r="G322" s="117"/>
      <c r="H322" s="117"/>
      <c r="I322" s="117"/>
      <c r="J322" s="117"/>
      <c r="K322" s="117"/>
      <c r="L322" s="117"/>
      <c r="M322" s="117"/>
      <c r="N322" s="117"/>
      <c r="O322" s="117"/>
    </row>
    <row r="323" spans="1:15">
      <c r="A323" s="117"/>
      <c r="B323" s="117"/>
      <c r="C323" s="117"/>
      <c r="D323" s="117"/>
      <c r="E323" s="63" t="str">
        <f t="shared" si="10"/>
        <v/>
      </c>
      <c r="F323" s="117"/>
      <c r="G323" s="117"/>
      <c r="H323" s="117"/>
      <c r="I323" s="117"/>
      <c r="J323" s="117"/>
      <c r="K323" s="117"/>
      <c r="L323" s="117"/>
      <c r="M323" s="117"/>
      <c r="N323" s="117"/>
      <c r="O323" s="117"/>
    </row>
    <row r="324" spans="1:15">
      <c r="A324" s="117"/>
      <c r="B324" s="117"/>
      <c r="C324" s="117"/>
      <c r="D324" s="117"/>
      <c r="E324" s="63" t="str">
        <f t="shared" si="10"/>
        <v/>
      </c>
      <c r="F324" s="117"/>
      <c r="G324" s="117"/>
      <c r="H324" s="117"/>
      <c r="I324" s="117"/>
      <c r="J324" s="117"/>
      <c r="K324" s="117"/>
      <c r="L324" s="117"/>
      <c r="M324" s="117"/>
      <c r="N324" s="117"/>
      <c r="O324" s="117"/>
    </row>
    <row r="325" spans="1:15">
      <c r="A325" s="117"/>
      <c r="B325" s="117"/>
      <c r="C325" s="117"/>
      <c r="D325" s="117"/>
      <c r="E325" s="63" t="str">
        <f t="shared" si="10"/>
        <v/>
      </c>
      <c r="F325" s="117"/>
      <c r="G325" s="117"/>
      <c r="H325" s="117"/>
      <c r="I325" s="117"/>
      <c r="J325" s="117"/>
      <c r="K325" s="117"/>
      <c r="L325" s="117"/>
      <c r="M325" s="117"/>
      <c r="N325" s="117"/>
      <c r="O325" s="117"/>
    </row>
    <row r="326" spans="1:15">
      <c r="A326" s="117"/>
      <c r="B326" s="117"/>
      <c r="C326" s="117"/>
      <c r="D326" s="117"/>
      <c r="E326" s="63" t="str">
        <f t="shared" si="10"/>
        <v/>
      </c>
      <c r="F326" s="117"/>
      <c r="G326" s="117"/>
      <c r="H326" s="117"/>
      <c r="I326" s="117"/>
      <c r="J326" s="117"/>
      <c r="K326" s="117"/>
      <c r="L326" s="117"/>
      <c r="M326" s="117"/>
      <c r="N326" s="117"/>
      <c r="O326" s="117"/>
    </row>
    <row r="327" spans="1:15">
      <c r="A327" s="117"/>
      <c r="B327" s="117"/>
      <c r="C327" s="117"/>
      <c r="D327" s="117"/>
      <c r="E327" s="63" t="str">
        <f t="shared" si="10"/>
        <v/>
      </c>
      <c r="F327" s="117"/>
      <c r="G327" s="117"/>
      <c r="H327" s="117"/>
      <c r="I327" s="117"/>
      <c r="J327" s="117"/>
      <c r="K327" s="117"/>
      <c r="L327" s="117"/>
      <c r="M327" s="117"/>
      <c r="N327" s="117"/>
      <c r="O327" s="117"/>
    </row>
    <row r="328" spans="1:15">
      <c r="A328" s="117"/>
      <c r="B328" s="117"/>
      <c r="C328" s="117"/>
      <c r="D328" s="117"/>
      <c r="E328" s="63" t="str">
        <f t="shared" si="10"/>
        <v/>
      </c>
      <c r="F328" s="117"/>
      <c r="G328" s="117"/>
      <c r="H328" s="117"/>
      <c r="I328" s="117"/>
      <c r="J328" s="117"/>
      <c r="K328" s="117"/>
      <c r="L328" s="117"/>
      <c r="M328" s="117"/>
      <c r="N328" s="117"/>
      <c r="O328" s="117"/>
    </row>
    <row r="329" spans="1:15">
      <c r="A329" s="117"/>
      <c r="B329" s="117"/>
      <c r="C329" s="117"/>
      <c r="D329" s="117"/>
      <c r="E329" s="63" t="str">
        <f t="shared" si="10"/>
        <v/>
      </c>
      <c r="F329" s="117"/>
      <c r="G329" s="117"/>
      <c r="H329" s="117"/>
      <c r="I329" s="117"/>
      <c r="J329" s="117"/>
      <c r="K329" s="117"/>
      <c r="L329" s="117"/>
      <c r="M329" s="117"/>
      <c r="N329" s="117"/>
      <c r="O329" s="117"/>
    </row>
    <row r="330" spans="1:15">
      <c r="A330" s="117"/>
      <c r="B330" s="117"/>
      <c r="C330" s="117"/>
      <c r="D330" s="117"/>
      <c r="E330" s="63" t="str">
        <f t="shared" si="10"/>
        <v/>
      </c>
      <c r="F330" s="117"/>
      <c r="G330" s="117"/>
      <c r="H330" s="117"/>
      <c r="I330" s="117"/>
      <c r="J330" s="117"/>
      <c r="K330" s="117"/>
      <c r="L330" s="117"/>
      <c r="M330" s="117"/>
      <c r="N330" s="117"/>
      <c r="O330" s="117"/>
    </row>
    <row r="331" spans="1:15">
      <c r="A331" s="117"/>
      <c r="B331" s="117"/>
      <c r="C331" s="117"/>
      <c r="D331" s="117"/>
      <c r="E331" s="63" t="str">
        <f t="shared" si="10"/>
        <v/>
      </c>
      <c r="F331" s="117"/>
      <c r="G331" s="117"/>
      <c r="H331" s="117"/>
      <c r="I331" s="117"/>
      <c r="J331" s="117"/>
      <c r="K331" s="117"/>
      <c r="L331" s="117"/>
      <c r="M331" s="117"/>
      <c r="N331" s="117"/>
      <c r="O331" s="117"/>
    </row>
    <row r="332" spans="1:15">
      <c r="A332" s="117"/>
      <c r="B332" s="117"/>
      <c r="C332" s="117"/>
      <c r="D332" s="117"/>
      <c r="E332" s="63" t="str">
        <f t="shared" si="10"/>
        <v/>
      </c>
      <c r="F332" s="117"/>
      <c r="G332" s="117"/>
      <c r="H332" s="117"/>
      <c r="I332" s="117"/>
      <c r="J332" s="117"/>
      <c r="K332" s="117"/>
      <c r="L332" s="117"/>
      <c r="M332" s="117"/>
      <c r="N332" s="117"/>
      <c r="O332" s="117"/>
    </row>
    <row r="333" spans="1:15">
      <c r="A333" s="117"/>
      <c r="B333" s="117"/>
      <c r="C333" s="117"/>
      <c r="D333" s="117"/>
      <c r="E333" s="63" t="str">
        <f t="shared" si="10"/>
        <v/>
      </c>
      <c r="F333" s="117"/>
      <c r="G333" s="117"/>
      <c r="H333" s="117"/>
      <c r="I333" s="117"/>
      <c r="J333" s="117"/>
      <c r="K333" s="117"/>
      <c r="L333" s="117"/>
      <c r="M333" s="117"/>
      <c r="N333" s="117"/>
      <c r="O333" s="117"/>
    </row>
    <row r="334" spans="1:15">
      <c r="A334" s="117"/>
      <c r="B334" s="117"/>
      <c r="C334" s="117"/>
      <c r="D334" s="117"/>
      <c r="E334" s="63" t="str">
        <f t="shared" si="10"/>
        <v/>
      </c>
      <c r="F334" s="117"/>
      <c r="G334" s="117"/>
      <c r="H334" s="117"/>
      <c r="I334" s="117"/>
      <c r="J334" s="117"/>
      <c r="K334" s="117"/>
      <c r="L334" s="117"/>
      <c r="M334" s="117"/>
      <c r="N334" s="117"/>
      <c r="O334" s="117"/>
    </row>
    <row r="335" spans="1:15">
      <c r="A335" s="117"/>
      <c r="B335" s="117"/>
      <c r="C335" s="117"/>
      <c r="D335" s="117"/>
      <c r="E335" s="63" t="str">
        <f t="shared" si="10"/>
        <v/>
      </c>
      <c r="F335" s="117"/>
      <c r="G335" s="117"/>
      <c r="H335" s="117"/>
      <c r="I335" s="117"/>
      <c r="J335" s="117"/>
      <c r="K335" s="117"/>
      <c r="L335" s="117"/>
      <c r="M335" s="117"/>
      <c r="N335" s="117"/>
      <c r="O335" s="117"/>
    </row>
    <row r="336" spans="1:15">
      <c r="A336" s="117"/>
      <c r="B336" s="117"/>
      <c r="C336" s="117"/>
      <c r="D336" s="117"/>
      <c r="E336" s="63" t="str">
        <f t="shared" si="10"/>
        <v/>
      </c>
      <c r="F336" s="117"/>
      <c r="G336" s="117"/>
      <c r="H336" s="117"/>
      <c r="I336" s="117"/>
      <c r="J336" s="117"/>
      <c r="K336" s="117"/>
      <c r="L336" s="117"/>
      <c r="M336" s="117"/>
      <c r="N336" s="117"/>
      <c r="O336" s="117"/>
    </row>
    <row r="337" spans="1:15">
      <c r="A337" s="117"/>
      <c r="B337" s="117"/>
      <c r="C337" s="117"/>
      <c r="D337" s="117"/>
      <c r="E337" s="63" t="str">
        <f t="shared" si="10"/>
        <v/>
      </c>
      <c r="F337" s="117"/>
      <c r="G337" s="117"/>
      <c r="H337" s="117"/>
      <c r="I337" s="117"/>
      <c r="J337" s="117"/>
      <c r="K337" s="117"/>
      <c r="L337" s="117"/>
      <c r="M337" s="117"/>
      <c r="N337" s="117"/>
      <c r="O337" s="117"/>
    </row>
    <row r="338" spans="1:15">
      <c r="A338" s="117"/>
      <c r="B338" s="117"/>
      <c r="C338" s="117"/>
      <c r="D338" s="117"/>
      <c r="E338" s="63" t="str">
        <f t="shared" si="10"/>
        <v/>
      </c>
      <c r="F338" s="117"/>
      <c r="G338" s="117"/>
      <c r="H338" s="117"/>
      <c r="I338" s="117"/>
      <c r="J338" s="117"/>
      <c r="K338" s="117"/>
      <c r="L338" s="117"/>
      <c r="M338" s="117"/>
      <c r="N338" s="117"/>
      <c r="O338" s="117"/>
    </row>
    <row r="339" spans="1:15">
      <c r="A339" s="117"/>
      <c r="B339" s="117"/>
      <c r="C339" s="117"/>
      <c r="D339" s="117"/>
      <c r="E339" s="63" t="str">
        <f t="shared" si="10"/>
        <v/>
      </c>
      <c r="F339" s="117"/>
      <c r="G339" s="117"/>
      <c r="H339" s="117"/>
      <c r="I339" s="117"/>
      <c r="J339" s="117"/>
      <c r="K339" s="117"/>
      <c r="L339" s="117"/>
      <c r="M339" s="117"/>
      <c r="N339" s="117"/>
      <c r="O339" s="117"/>
    </row>
    <row r="340" spans="1:15">
      <c r="A340" s="117"/>
      <c r="B340" s="117"/>
      <c r="C340" s="117"/>
      <c r="D340" s="117"/>
      <c r="E340" s="63" t="str">
        <f t="shared" si="10"/>
        <v/>
      </c>
      <c r="F340" s="117"/>
      <c r="G340" s="117"/>
      <c r="H340" s="117"/>
      <c r="I340" s="117"/>
      <c r="J340" s="117"/>
      <c r="K340" s="117"/>
      <c r="L340" s="117"/>
      <c r="M340" s="117"/>
      <c r="N340" s="117"/>
      <c r="O340" s="117"/>
    </row>
    <row r="341" spans="1:15">
      <c r="A341" s="117"/>
      <c r="B341" s="117"/>
      <c r="C341" s="117"/>
      <c r="D341" s="117"/>
      <c r="E341" s="63" t="str">
        <f t="shared" si="10"/>
        <v/>
      </c>
      <c r="F341" s="117"/>
      <c r="G341" s="117"/>
      <c r="H341" s="117"/>
      <c r="I341" s="117"/>
      <c r="J341" s="117"/>
      <c r="K341" s="117"/>
      <c r="L341" s="117"/>
      <c r="M341" s="117"/>
      <c r="N341" s="117"/>
      <c r="O341" s="117"/>
    </row>
    <row r="342" spans="1:15">
      <c r="A342" s="117"/>
      <c r="B342" s="117"/>
      <c r="C342" s="117"/>
      <c r="D342" s="117"/>
      <c r="E342" s="63" t="str">
        <f t="shared" si="10"/>
        <v/>
      </c>
      <c r="F342" s="117"/>
      <c r="G342" s="117"/>
      <c r="H342" s="117"/>
      <c r="I342" s="117"/>
      <c r="J342" s="117"/>
      <c r="K342" s="117"/>
      <c r="L342" s="117"/>
      <c r="M342" s="117"/>
      <c r="N342" s="117"/>
      <c r="O342" s="117"/>
    </row>
    <row r="343" spans="1:15">
      <c r="A343" s="117"/>
      <c r="B343" s="117"/>
      <c r="C343" s="117"/>
      <c r="D343" s="117"/>
      <c r="E343" s="63" t="str">
        <f t="shared" si="10"/>
        <v/>
      </c>
      <c r="F343" s="117"/>
      <c r="G343" s="117"/>
      <c r="H343" s="117"/>
      <c r="I343" s="117"/>
      <c r="J343" s="117"/>
      <c r="K343" s="117"/>
      <c r="L343" s="117"/>
      <c r="M343" s="117"/>
      <c r="N343" s="117"/>
      <c r="O343" s="117"/>
    </row>
    <row r="344" spans="1:15">
      <c r="A344" s="117"/>
      <c r="B344" s="117"/>
      <c r="C344" s="117"/>
      <c r="D344" s="117"/>
      <c r="E344" s="63" t="str">
        <f t="shared" si="10"/>
        <v/>
      </c>
      <c r="F344" s="117"/>
      <c r="G344" s="117"/>
      <c r="H344" s="117"/>
      <c r="I344" s="117"/>
      <c r="J344" s="117"/>
      <c r="K344" s="117"/>
      <c r="L344" s="117"/>
      <c r="M344" s="117"/>
      <c r="N344" s="117"/>
      <c r="O344" s="117"/>
    </row>
    <row r="345" spans="1:15">
      <c r="A345" s="117"/>
      <c r="B345" s="117"/>
      <c r="C345" s="117"/>
      <c r="D345" s="117"/>
      <c r="E345" s="63" t="str">
        <f t="shared" si="10"/>
        <v/>
      </c>
      <c r="F345" s="117"/>
      <c r="G345" s="117"/>
      <c r="H345" s="117"/>
      <c r="I345" s="117"/>
      <c r="J345" s="117"/>
      <c r="K345" s="117"/>
      <c r="L345" s="117"/>
      <c r="M345" s="117"/>
      <c r="N345" s="117"/>
      <c r="O345" s="117"/>
    </row>
    <row r="346" spans="1:15">
      <c r="A346" s="117"/>
      <c r="B346" s="117"/>
      <c r="C346" s="117"/>
      <c r="D346" s="117"/>
      <c r="E346" s="63" t="str">
        <f t="shared" si="10"/>
        <v/>
      </c>
      <c r="F346" s="117"/>
      <c r="G346" s="117"/>
      <c r="H346" s="117"/>
      <c r="I346" s="117"/>
      <c r="J346" s="117"/>
      <c r="K346" s="117"/>
      <c r="L346" s="117"/>
      <c r="M346" s="117"/>
      <c r="N346" s="117"/>
      <c r="O346" s="117"/>
    </row>
    <row r="347" spans="1:15">
      <c r="A347" s="117"/>
      <c r="B347" s="117"/>
      <c r="C347" s="117"/>
      <c r="D347" s="117"/>
      <c r="E347" s="63" t="str">
        <f t="shared" si="10"/>
        <v/>
      </c>
      <c r="F347" s="117"/>
      <c r="G347" s="117"/>
      <c r="H347" s="117"/>
      <c r="I347" s="117"/>
      <c r="J347" s="117"/>
      <c r="K347" s="117"/>
      <c r="L347" s="117"/>
      <c r="M347" s="117"/>
      <c r="N347" s="117"/>
      <c r="O347" s="117"/>
    </row>
    <row r="348" spans="1:15">
      <c r="A348" s="117"/>
      <c r="B348" s="117"/>
      <c r="C348" s="117"/>
      <c r="D348" s="117"/>
      <c r="E348" s="63" t="str">
        <f t="shared" si="10"/>
        <v/>
      </c>
      <c r="F348" s="117"/>
      <c r="G348" s="117"/>
      <c r="H348" s="117"/>
      <c r="I348" s="117"/>
      <c r="J348" s="117"/>
      <c r="K348" s="117"/>
      <c r="L348" s="117"/>
      <c r="M348" s="117"/>
      <c r="N348" s="117"/>
      <c r="O348" s="117"/>
    </row>
    <row r="349" spans="1:15">
      <c r="A349" s="117"/>
      <c r="B349" s="117"/>
      <c r="C349" s="117"/>
      <c r="D349" s="117"/>
      <c r="E349" s="63" t="str">
        <f t="shared" si="10"/>
        <v/>
      </c>
      <c r="F349" s="117"/>
      <c r="G349" s="117"/>
      <c r="H349" s="117"/>
      <c r="I349" s="117"/>
      <c r="J349" s="117"/>
      <c r="K349" s="117"/>
      <c r="L349" s="117"/>
      <c r="M349" s="117"/>
      <c r="N349" s="117"/>
      <c r="O349" s="117"/>
    </row>
    <row r="350" spans="1:15">
      <c r="A350" s="117"/>
      <c r="B350" s="117"/>
      <c r="C350" s="117"/>
      <c r="D350" s="117"/>
      <c r="E350" s="63" t="str">
        <f t="shared" si="10"/>
        <v/>
      </c>
      <c r="F350" s="117"/>
      <c r="G350" s="117"/>
      <c r="H350" s="117"/>
      <c r="I350" s="117"/>
      <c r="J350" s="117"/>
      <c r="K350" s="117"/>
      <c r="L350" s="117"/>
      <c r="M350" s="117"/>
      <c r="N350" s="117"/>
      <c r="O350" s="117"/>
    </row>
    <row r="351" spans="1:15">
      <c r="A351" s="117"/>
      <c r="B351" s="117"/>
      <c r="C351" s="117"/>
      <c r="D351" s="117"/>
      <c r="E351" s="63" t="str">
        <f t="shared" si="10"/>
        <v/>
      </c>
      <c r="F351" s="117"/>
      <c r="G351" s="117"/>
      <c r="H351" s="117"/>
      <c r="I351" s="117"/>
      <c r="J351" s="117"/>
      <c r="K351" s="117"/>
      <c r="L351" s="117"/>
      <c r="M351" s="117"/>
      <c r="N351" s="117"/>
      <c r="O351" s="117"/>
    </row>
    <row r="352" spans="1:15">
      <c r="A352" s="117"/>
      <c r="B352" s="117"/>
      <c r="C352" s="117"/>
      <c r="D352" s="117"/>
      <c r="E352" s="63" t="str">
        <f t="shared" si="10"/>
        <v/>
      </c>
      <c r="F352" s="117"/>
      <c r="G352" s="117"/>
      <c r="H352" s="117"/>
      <c r="I352" s="117"/>
      <c r="J352" s="117"/>
      <c r="K352" s="117"/>
      <c r="L352" s="117"/>
      <c r="M352" s="117"/>
      <c r="N352" s="117"/>
      <c r="O352" s="117"/>
    </row>
    <row r="353" spans="1:15">
      <c r="A353" s="117"/>
      <c r="B353" s="117"/>
      <c r="C353" s="117"/>
      <c r="D353" s="117"/>
      <c r="E353" s="63" t="str">
        <f t="shared" si="10"/>
        <v/>
      </c>
      <c r="F353" s="117"/>
      <c r="G353" s="117"/>
      <c r="H353" s="117"/>
      <c r="I353" s="117"/>
      <c r="J353" s="117"/>
      <c r="K353" s="117"/>
      <c r="L353" s="117"/>
      <c r="M353" s="117"/>
      <c r="N353" s="117"/>
      <c r="O353" s="117"/>
    </row>
    <row r="354" spans="1:15">
      <c r="A354" s="117"/>
      <c r="B354" s="117"/>
      <c r="C354" s="117"/>
      <c r="D354" s="117"/>
      <c r="E354" s="63" t="str">
        <f t="shared" si="10"/>
        <v/>
      </c>
      <c r="F354" s="117"/>
      <c r="G354" s="117"/>
      <c r="H354" s="117"/>
      <c r="I354" s="117"/>
      <c r="J354" s="117"/>
      <c r="K354" s="117"/>
      <c r="L354" s="117"/>
      <c r="M354" s="117"/>
      <c r="N354" s="117"/>
      <c r="O354" s="117"/>
    </row>
    <row r="355" spans="1:15">
      <c r="A355" s="117"/>
      <c r="B355" s="117"/>
      <c r="C355" s="117"/>
      <c r="D355" s="117"/>
      <c r="E355" s="63" t="str">
        <f t="shared" si="10"/>
        <v/>
      </c>
      <c r="F355" s="117"/>
      <c r="G355" s="117"/>
      <c r="H355" s="117"/>
      <c r="I355" s="117"/>
      <c r="J355" s="117"/>
      <c r="K355" s="117"/>
      <c r="L355" s="117"/>
      <c r="M355" s="117"/>
      <c r="N355" s="117"/>
      <c r="O355" s="117"/>
    </row>
    <row r="356" spans="1:15">
      <c r="A356" s="117"/>
      <c r="B356" s="117"/>
      <c r="C356" s="117"/>
      <c r="D356" s="117"/>
      <c r="E356" s="63" t="str">
        <f t="shared" si="10"/>
        <v/>
      </c>
      <c r="F356" s="117"/>
      <c r="G356" s="117"/>
      <c r="H356" s="117"/>
      <c r="I356" s="117"/>
      <c r="J356" s="117"/>
      <c r="K356" s="117"/>
      <c r="L356" s="117"/>
      <c r="M356" s="117"/>
      <c r="N356" s="117"/>
      <c r="O356" s="117"/>
    </row>
    <row r="357" spans="1:15">
      <c r="A357" s="117"/>
      <c r="B357" s="117"/>
      <c r="C357" s="117"/>
      <c r="D357" s="117"/>
      <c r="E357" s="63" t="str">
        <f t="shared" si="10"/>
        <v/>
      </c>
      <c r="F357" s="117"/>
      <c r="G357" s="117"/>
      <c r="H357" s="117"/>
      <c r="I357" s="117"/>
      <c r="J357" s="117"/>
      <c r="K357" s="117"/>
      <c r="L357" s="117"/>
      <c r="M357" s="117"/>
      <c r="N357" s="117"/>
      <c r="O357" s="117"/>
    </row>
    <row r="358" spans="1:15">
      <c r="A358" s="117"/>
      <c r="B358" s="117"/>
      <c r="C358" s="117"/>
      <c r="D358" s="117"/>
      <c r="E358" s="63" t="str">
        <f t="shared" si="10"/>
        <v/>
      </c>
      <c r="F358" s="117"/>
      <c r="G358" s="117"/>
      <c r="H358" s="117"/>
      <c r="I358" s="117"/>
      <c r="J358" s="117"/>
      <c r="K358" s="117"/>
      <c r="L358" s="117"/>
      <c r="M358" s="117"/>
      <c r="N358" s="117"/>
      <c r="O358" s="117"/>
    </row>
    <row r="359" spans="1:15">
      <c r="A359" s="117"/>
      <c r="B359" s="117"/>
      <c r="C359" s="117"/>
      <c r="D359" s="117"/>
      <c r="E359" s="63" t="str">
        <f t="shared" si="10"/>
        <v/>
      </c>
      <c r="F359" s="117"/>
      <c r="G359" s="117"/>
      <c r="H359" s="117"/>
      <c r="I359" s="117"/>
      <c r="J359" s="117"/>
      <c r="K359" s="117"/>
      <c r="L359" s="117"/>
      <c r="M359" s="117"/>
      <c r="N359" s="117"/>
      <c r="O359" s="117"/>
    </row>
    <row r="360" spans="1:15">
      <c r="A360" s="117"/>
      <c r="B360" s="117"/>
      <c r="C360" s="117"/>
      <c r="D360" s="117"/>
      <c r="E360" s="63" t="str">
        <f t="shared" si="10"/>
        <v/>
      </c>
      <c r="F360" s="117"/>
      <c r="G360" s="117"/>
      <c r="H360" s="117"/>
      <c r="I360" s="117"/>
      <c r="J360" s="117"/>
      <c r="K360" s="117"/>
      <c r="L360" s="117"/>
      <c r="M360" s="117"/>
      <c r="N360" s="117"/>
      <c r="O360" s="117"/>
    </row>
    <row r="361" spans="1:15">
      <c r="A361" s="117"/>
      <c r="B361" s="117"/>
      <c r="C361" s="117"/>
      <c r="D361" s="117"/>
      <c r="E361" s="63" t="str">
        <f t="shared" si="10"/>
        <v/>
      </c>
      <c r="F361" s="117"/>
      <c r="G361" s="117"/>
      <c r="H361" s="117"/>
      <c r="I361" s="117"/>
      <c r="J361" s="117"/>
      <c r="K361" s="117"/>
      <c r="L361" s="117"/>
      <c r="M361" s="117"/>
      <c r="N361" s="117"/>
      <c r="O361" s="117"/>
    </row>
    <row r="362" spans="1:15">
      <c r="A362" s="117"/>
      <c r="B362" s="117"/>
      <c r="C362" s="117"/>
      <c r="D362" s="117"/>
      <c r="E362" s="63" t="str">
        <f t="shared" si="10"/>
        <v/>
      </c>
      <c r="F362" s="117"/>
      <c r="G362" s="117"/>
      <c r="H362" s="117"/>
      <c r="I362" s="117"/>
      <c r="J362" s="117"/>
      <c r="K362" s="117"/>
      <c r="L362" s="117"/>
      <c r="M362" s="117"/>
      <c r="N362" s="117"/>
      <c r="O362" s="117"/>
    </row>
    <row r="363" spans="1:15">
      <c r="A363" s="117"/>
      <c r="B363" s="117"/>
      <c r="C363" s="117"/>
      <c r="D363" s="117"/>
      <c r="E363" s="63" t="str">
        <f t="shared" si="10"/>
        <v/>
      </c>
      <c r="F363" s="117"/>
      <c r="G363" s="117"/>
      <c r="H363" s="117"/>
      <c r="I363" s="117"/>
      <c r="J363" s="117"/>
      <c r="K363" s="117"/>
      <c r="L363" s="117"/>
      <c r="M363" s="117"/>
      <c r="N363" s="117"/>
      <c r="O363" s="117"/>
    </row>
    <row r="364" spans="1:15">
      <c r="A364" s="117"/>
      <c r="B364" s="117"/>
      <c r="C364" s="117"/>
      <c r="D364" s="117"/>
      <c r="E364" s="63" t="str">
        <f t="shared" si="10"/>
        <v/>
      </c>
      <c r="F364" s="117"/>
      <c r="G364" s="117"/>
      <c r="H364" s="117"/>
      <c r="I364" s="117"/>
      <c r="J364" s="117"/>
      <c r="K364" s="117"/>
      <c r="L364" s="117"/>
      <c r="M364" s="117"/>
      <c r="N364" s="117"/>
      <c r="O364" s="117"/>
    </row>
    <row r="365" spans="1:15">
      <c r="A365" s="117"/>
      <c r="B365" s="117"/>
      <c r="C365" s="117"/>
      <c r="D365" s="117"/>
      <c r="E365" s="63" t="str">
        <f t="shared" si="10"/>
        <v/>
      </c>
      <c r="F365" s="117"/>
      <c r="G365" s="117"/>
      <c r="H365" s="117"/>
      <c r="I365" s="117"/>
      <c r="J365" s="117"/>
      <c r="K365" s="117"/>
      <c r="L365" s="117"/>
      <c r="M365" s="117"/>
      <c r="N365" s="117"/>
      <c r="O365" s="117"/>
    </row>
    <row r="366" spans="1:15">
      <c r="A366" s="117"/>
      <c r="B366" s="117"/>
      <c r="C366" s="117"/>
      <c r="D366" s="117"/>
      <c r="E366" s="63" t="str">
        <f t="shared" si="10"/>
        <v/>
      </c>
      <c r="F366" s="117"/>
      <c r="G366" s="117"/>
      <c r="H366" s="117"/>
      <c r="I366" s="117"/>
      <c r="J366" s="117"/>
      <c r="K366" s="117"/>
      <c r="L366" s="117"/>
      <c r="M366" s="117"/>
      <c r="N366" s="117"/>
      <c r="O366" s="117"/>
    </row>
    <row r="367" spans="1:15">
      <c r="A367" s="117"/>
      <c r="B367" s="117"/>
      <c r="C367" s="117"/>
      <c r="D367" s="117"/>
      <c r="E367" s="63" t="str">
        <f t="shared" si="10"/>
        <v/>
      </c>
      <c r="F367" s="117"/>
      <c r="G367" s="117"/>
      <c r="H367" s="117"/>
      <c r="I367" s="117"/>
      <c r="J367" s="117"/>
      <c r="K367" s="117"/>
      <c r="L367" s="117"/>
      <c r="M367" s="117"/>
      <c r="N367" s="117"/>
      <c r="O367" s="117"/>
    </row>
    <row r="368" spans="1:15">
      <c r="A368" s="117"/>
      <c r="B368" s="117"/>
      <c r="C368" s="117"/>
      <c r="D368" s="117"/>
      <c r="E368" s="63" t="str">
        <f t="shared" si="10"/>
        <v/>
      </c>
      <c r="F368" s="117"/>
      <c r="G368" s="117"/>
      <c r="H368" s="117"/>
      <c r="I368" s="117"/>
      <c r="J368" s="117"/>
      <c r="K368" s="117"/>
      <c r="L368" s="117"/>
      <c r="M368" s="117"/>
      <c r="N368" s="117"/>
      <c r="O368" s="117"/>
    </row>
    <row r="369" spans="1:15">
      <c r="A369" s="117"/>
      <c r="B369" s="117"/>
      <c r="C369" s="117"/>
      <c r="D369" s="117"/>
      <c r="E369" s="63" t="str">
        <f t="shared" si="10"/>
        <v/>
      </c>
      <c r="F369" s="117"/>
      <c r="G369" s="117"/>
      <c r="H369" s="117"/>
      <c r="I369" s="117"/>
      <c r="J369" s="117"/>
      <c r="K369" s="117"/>
      <c r="L369" s="117"/>
      <c r="M369" s="117"/>
      <c r="N369" s="117"/>
      <c r="O369" s="117"/>
    </row>
    <row r="370" spans="1:15">
      <c r="A370" s="117"/>
      <c r="B370" s="117"/>
      <c r="C370" s="117"/>
      <c r="D370" s="117"/>
      <c r="E370" s="63" t="str">
        <f t="shared" si="10"/>
        <v/>
      </c>
      <c r="F370" s="117"/>
      <c r="G370" s="117"/>
      <c r="H370" s="117"/>
      <c r="I370" s="117"/>
      <c r="J370" s="117"/>
      <c r="K370" s="117"/>
      <c r="L370" s="117"/>
      <c r="M370" s="117"/>
      <c r="N370" s="117"/>
      <c r="O370" s="117"/>
    </row>
    <row r="371" spans="1:15">
      <c r="A371" s="117"/>
      <c r="B371" s="117"/>
      <c r="C371" s="117"/>
      <c r="D371" s="117"/>
      <c r="E371" s="63" t="str">
        <f t="shared" ref="E371:E382" si="11">IF(OR(C371="",D371=""),"",C371*D371)</f>
        <v/>
      </c>
      <c r="F371" s="117"/>
      <c r="G371" s="117"/>
      <c r="H371" s="117"/>
      <c r="I371" s="117"/>
      <c r="J371" s="117"/>
      <c r="K371" s="117"/>
      <c r="L371" s="117"/>
      <c r="M371" s="117"/>
      <c r="N371" s="117"/>
      <c r="O371" s="117"/>
    </row>
    <row r="372" spans="1:15">
      <c r="A372" s="117"/>
      <c r="B372" s="117"/>
      <c r="C372" s="117"/>
      <c r="D372" s="117"/>
      <c r="E372" s="63" t="str">
        <f t="shared" si="11"/>
        <v/>
      </c>
      <c r="F372" s="117"/>
      <c r="G372" s="117"/>
      <c r="H372" s="117"/>
      <c r="I372" s="117"/>
      <c r="J372" s="117"/>
      <c r="K372" s="117"/>
      <c r="L372" s="117"/>
      <c r="M372" s="117"/>
      <c r="N372" s="117"/>
      <c r="O372" s="117"/>
    </row>
    <row r="373" spans="1:15">
      <c r="A373" s="117"/>
      <c r="B373" s="117"/>
      <c r="C373" s="117"/>
      <c r="D373" s="117"/>
      <c r="E373" s="63" t="str">
        <f t="shared" si="11"/>
        <v/>
      </c>
      <c r="F373" s="117"/>
      <c r="G373" s="117"/>
      <c r="H373" s="117"/>
      <c r="I373" s="117"/>
      <c r="J373" s="117"/>
      <c r="K373" s="117"/>
      <c r="L373" s="117"/>
      <c r="M373" s="117"/>
      <c r="N373" s="117"/>
      <c r="O373" s="117"/>
    </row>
    <row r="374" spans="1:15">
      <c r="A374" s="117"/>
      <c r="B374" s="117"/>
      <c r="C374" s="117"/>
      <c r="D374" s="117"/>
      <c r="E374" s="63" t="str">
        <f t="shared" si="11"/>
        <v/>
      </c>
      <c r="F374" s="117"/>
      <c r="G374" s="117"/>
      <c r="H374" s="117"/>
      <c r="I374" s="117"/>
      <c r="J374" s="117"/>
      <c r="K374" s="117"/>
      <c r="L374" s="117"/>
      <c r="M374" s="117"/>
      <c r="N374" s="117"/>
      <c r="O374" s="117"/>
    </row>
    <row r="375" spans="1:15">
      <c r="A375" s="117"/>
      <c r="B375" s="117"/>
      <c r="C375" s="117"/>
      <c r="D375" s="117"/>
      <c r="E375" s="63" t="str">
        <f t="shared" si="11"/>
        <v/>
      </c>
      <c r="F375" s="117"/>
      <c r="G375" s="117"/>
      <c r="H375" s="117"/>
      <c r="I375" s="117"/>
      <c r="J375" s="117"/>
      <c r="K375" s="117"/>
      <c r="L375" s="117"/>
      <c r="M375" s="117"/>
      <c r="N375" s="117"/>
      <c r="O375" s="117"/>
    </row>
    <row r="376" spans="1:15">
      <c r="A376" s="117"/>
      <c r="B376" s="117"/>
      <c r="C376" s="117"/>
      <c r="D376" s="117"/>
      <c r="E376" s="63" t="str">
        <f t="shared" si="11"/>
        <v/>
      </c>
      <c r="F376" s="117"/>
      <c r="G376" s="117"/>
      <c r="H376" s="117"/>
      <c r="I376" s="117"/>
      <c r="J376" s="117"/>
      <c r="K376" s="117"/>
      <c r="L376" s="117"/>
      <c r="M376" s="117"/>
      <c r="N376" s="117"/>
      <c r="O376" s="117"/>
    </row>
    <row r="377" spans="1:15">
      <c r="A377" s="117"/>
      <c r="B377" s="117"/>
      <c r="C377" s="117"/>
      <c r="D377" s="117"/>
      <c r="E377" s="63" t="str">
        <f t="shared" si="11"/>
        <v/>
      </c>
      <c r="F377" s="117"/>
      <c r="G377" s="117"/>
      <c r="H377" s="117"/>
      <c r="I377" s="117"/>
      <c r="J377" s="117"/>
      <c r="K377" s="117"/>
      <c r="L377" s="117"/>
      <c r="M377" s="117"/>
      <c r="N377" s="117"/>
      <c r="O377" s="117"/>
    </row>
    <row r="378" spans="1:15">
      <c r="A378" s="117"/>
      <c r="B378" s="117"/>
      <c r="C378" s="117"/>
      <c r="D378" s="117"/>
      <c r="E378" s="63" t="str">
        <f t="shared" si="11"/>
        <v/>
      </c>
      <c r="F378" s="117"/>
      <c r="G378" s="117"/>
      <c r="H378" s="117"/>
      <c r="I378" s="117"/>
      <c r="J378" s="117"/>
      <c r="K378" s="117"/>
      <c r="L378" s="117"/>
      <c r="M378" s="117"/>
      <c r="N378" s="117"/>
      <c r="O378" s="117"/>
    </row>
    <row r="379" spans="1:15">
      <c r="A379" s="117"/>
      <c r="B379" s="117"/>
      <c r="C379" s="117"/>
      <c r="D379" s="117"/>
      <c r="E379" s="63" t="str">
        <f t="shared" si="11"/>
        <v/>
      </c>
      <c r="F379" s="117"/>
      <c r="G379" s="117"/>
      <c r="H379" s="117"/>
      <c r="I379" s="117"/>
      <c r="J379" s="117"/>
      <c r="K379" s="117"/>
      <c r="L379" s="117"/>
      <c r="M379" s="117"/>
      <c r="N379" s="117"/>
      <c r="O379" s="117"/>
    </row>
    <row r="380" spans="1:15">
      <c r="A380" s="117"/>
      <c r="B380" s="117"/>
      <c r="C380" s="117"/>
      <c r="D380" s="117"/>
      <c r="E380" s="63" t="str">
        <f t="shared" si="11"/>
        <v/>
      </c>
      <c r="F380" s="117"/>
      <c r="G380" s="117"/>
      <c r="H380" s="117"/>
      <c r="I380" s="117"/>
      <c r="J380" s="117"/>
      <c r="K380" s="117"/>
      <c r="L380" s="117"/>
      <c r="M380" s="117"/>
      <c r="N380" s="117"/>
      <c r="O380" s="117"/>
    </row>
    <row r="381" spans="1:15">
      <c r="A381" s="117"/>
      <c r="B381" s="117"/>
      <c r="C381" s="117"/>
      <c r="D381" s="117"/>
      <c r="E381" s="63" t="str">
        <f t="shared" si="11"/>
        <v/>
      </c>
      <c r="F381" s="117"/>
      <c r="G381" s="117"/>
      <c r="H381" s="117"/>
      <c r="I381" s="117"/>
      <c r="J381" s="117"/>
      <c r="K381" s="117"/>
      <c r="L381" s="117"/>
      <c r="M381" s="117"/>
      <c r="N381" s="117"/>
      <c r="O381" s="117"/>
    </row>
    <row r="382" spans="1:15">
      <c r="A382" s="117"/>
      <c r="B382" s="117"/>
      <c r="C382" s="117"/>
      <c r="D382" s="117"/>
      <c r="E382" s="63" t="str">
        <f t="shared" si="11"/>
        <v/>
      </c>
      <c r="F382" s="117"/>
      <c r="G382" s="117"/>
      <c r="H382" s="117"/>
      <c r="I382" s="117"/>
      <c r="J382" s="117"/>
      <c r="K382" s="117"/>
      <c r="L382" s="117"/>
      <c r="M382" s="117"/>
      <c r="N382" s="117"/>
      <c r="O382" s="117"/>
    </row>
    <row r="383" spans="1:15">
      <c r="A383" s="117"/>
      <c r="B383" s="117"/>
      <c r="C383" s="117"/>
      <c r="D383" s="117"/>
      <c r="E383" s="117"/>
      <c r="F383" s="117"/>
      <c r="G383" s="117"/>
      <c r="H383" s="117"/>
      <c r="I383" s="117"/>
      <c r="J383" s="117"/>
      <c r="K383" s="117"/>
      <c r="L383" s="117"/>
      <c r="M383" s="117"/>
      <c r="N383" s="117"/>
      <c r="O383" s="117"/>
    </row>
    <row r="384" spans="1:15">
      <c r="A384" s="117"/>
      <c r="B384" s="117"/>
      <c r="C384" s="117"/>
      <c r="D384" s="117"/>
      <c r="E384" s="117"/>
      <c r="F384" s="117"/>
      <c r="G384" s="117"/>
      <c r="H384" s="117"/>
      <c r="I384" s="117"/>
      <c r="J384" s="117"/>
      <c r="K384" s="117"/>
      <c r="L384" s="117"/>
      <c r="M384" s="117"/>
      <c r="N384" s="117"/>
      <c r="O384" s="117"/>
    </row>
    <row r="385" spans="1:15">
      <c r="A385" s="117"/>
      <c r="B385" s="117"/>
      <c r="C385" s="117"/>
      <c r="D385" s="117"/>
      <c r="E385" s="117"/>
      <c r="F385" s="117"/>
      <c r="G385" s="117"/>
      <c r="H385" s="117"/>
      <c r="I385" s="117"/>
      <c r="J385" s="117"/>
      <c r="K385" s="117"/>
      <c r="L385" s="117"/>
      <c r="M385" s="117"/>
      <c r="N385" s="117"/>
      <c r="O385" s="117"/>
    </row>
    <row r="386" spans="1:15">
      <c r="A386" s="117"/>
      <c r="B386" s="117"/>
      <c r="C386" s="117"/>
      <c r="D386" s="117"/>
      <c r="E386" s="117"/>
      <c r="F386" s="117"/>
      <c r="G386" s="117"/>
      <c r="H386" s="117"/>
      <c r="I386" s="117"/>
      <c r="J386" s="117"/>
      <c r="K386" s="117"/>
      <c r="L386" s="117"/>
      <c r="M386" s="117"/>
      <c r="N386" s="117"/>
      <c r="O386" s="117"/>
    </row>
    <row r="387" spans="1:15">
      <c r="A387" s="117"/>
      <c r="B387" s="117"/>
      <c r="C387" s="117"/>
      <c r="D387" s="117"/>
      <c r="E387" s="117"/>
      <c r="F387" s="117"/>
      <c r="G387" s="117"/>
      <c r="H387" s="117"/>
      <c r="I387" s="117"/>
      <c r="J387" s="117"/>
      <c r="K387" s="117"/>
      <c r="L387" s="117"/>
      <c r="M387" s="117"/>
      <c r="N387" s="117"/>
      <c r="O387" s="117"/>
    </row>
    <row r="388" spans="1:15">
      <c r="A388" s="117"/>
      <c r="B388" s="117"/>
      <c r="C388" s="117"/>
      <c r="D388" s="117"/>
      <c r="E388" s="117"/>
      <c r="F388" s="117"/>
      <c r="G388" s="117"/>
      <c r="H388" s="117"/>
      <c r="I388" s="117"/>
      <c r="J388" s="117"/>
      <c r="K388" s="117"/>
      <c r="L388" s="117"/>
      <c r="M388" s="117"/>
      <c r="N388" s="117"/>
      <c r="O388" s="117"/>
    </row>
    <row r="389" spans="1:15">
      <c r="A389" s="117"/>
      <c r="B389" s="117"/>
      <c r="C389" s="117"/>
      <c r="D389" s="117"/>
      <c r="E389" s="117"/>
      <c r="F389" s="117"/>
      <c r="G389" s="117"/>
      <c r="H389" s="117"/>
      <c r="I389" s="117"/>
      <c r="J389" s="117"/>
      <c r="K389" s="117"/>
      <c r="L389" s="117"/>
      <c r="M389" s="117"/>
      <c r="N389" s="117"/>
      <c r="O389" s="117"/>
    </row>
  </sheetData>
  <autoFilter ref="A6:O64" xr:uid="{00000000-0009-0000-0000-00000B000000}"/>
  <dataValidations count="7">
    <dataValidation type="list" allowBlank="1" errorTitle="Fora da lista" error="Escolha um item da lista. Para incluir outro, use a aba PARAMETROS." promptTitle="Status" prompt="Clique na seta e escolha." sqref="M11 L7:L290" xr:uid="{00000000-0002-0000-0B00-000005000000}">
      <formula1>ListaStatus</formula1>
    </dataValidation>
    <dataValidation type="list" allowBlank="1" errorTitle="Fora da lista" error="Escolha um item da lista. Para incluir outro, use a aba PARAMETROS." promptTitle="Operação" prompt="Clique na seta e escolha." sqref="B7:B290" xr:uid="{00000000-0002-0000-0B00-000000000000}">
      <formula1>ListaOperacoes</formula1>
    </dataValidation>
    <dataValidation type="list" allowBlank="1" errorTitle="Fora da lista" error="Escolha um item da lista. Para incluir outro, use a aba PARAMETROS." promptTitle="Mandato" prompt="Clique na seta e escolha." sqref="F7:F290" xr:uid="{00000000-0002-0000-0B00-000001000000}">
      <formula1>ListaMandato</formula1>
    </dataValidation>
    <dataValidation type="list" allowBlank="1" errorTitle="Fora da lista" error="Escolha um item da lista. Para incluir outro, use a aba PARAMETROS." promptTitle="Instituição" prompt="Clique na seta e escolha." sqref="H7:H290" xr:uid="{00000000-0002-0000-0B00-000002000000}">
      <formula1>ListaParceiros</formula1>
    </dataValidation>
    <dataValidation type="list" allowBlank="1" errorTitle="Fora da lista" error="Escolha um item da lista. Para incluir outro, use a aba PARAMETROS." promptTitle="Parceiro Indicador" prompt="Clique na seta e escolha." sqref="I7:I290" xr:uid="{00000000-0002-0000-0B00-000003000000}">
      <formula1>ListaIndicadores</formula1>
    </dataValidation>
    <dataValidation type="list" allowBlank="1" errorTitle="Fora da lista" error="Escolha um item da lista. Para incluir outro, use a aba PARAMETROS." promptTitle="Fluxo" prompt="Clique na seta e escolha." sqref="K7:K290" xr:uid="{00000000-0002-0000-0B00-000004000000}">
      <formula1>ListaFluxo</formula1>
    </dataValidation>
    <dataValidation type="list" allowBlank="1" errorTitle="Fora da lista" error="Escolha um item da lista. Para incluir outro, use a aba PARAMETROS." promptTitle="Motivo De Recusa" prompt="Clique na seta e escolha." sqref="N7:N290" xr:uid="{00000000-0002-0000-0B00-000006000000}">
      <formula1>ListaMotivos</formula1>
    </dataValidation>
  </dataValidation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398"/>
  <sheetViews>
    <sheetView showGridLines="0" workbookViewId="0">
      <pane ySplit="6" topLeftCell="A7" activePane="bottomLeft" state="frozen"/>
      <selection pane="bottomLeft" activeCell="K24" sqref="K24"/>
    </sheetView>
  </sheetViews>
  <sheetFormatPr defaultRowHeight="14.45"/>
  <cols>
    <col min="1" max="1" width="74.28515625" bestFit="1" customWidth="1"/>
    <col min="2" max="2" width="26" customWidth="1"/>
    <col min="3" max="3" width="16" customWidth="1"/>
    <col min="4" max="4" width="9" customWidth="1"/>
    <col min="5" max="6" width="15" customWidth="1"/>
    <col min="7" max="7" width="7" customWidth="1"/>
    <col min="8" max="8" width="27" customWidth="1"/>
    <col min="9" max="9" width="19" customWidth="1"/>
    <col min="10" max="10" width="15.28515625" customWidth="1"/>
    <col min="11" max="11" width="18" customWidth="1"/>
    <col min="12" max="12" width="21" customWidth="1"/>
    <col min="13" max="13" width="21.5703125" customWidth="1"/>
    <col min="14" max="14" width="32" customWidth="1"/>
    <col min="15" max="15" width="42" customWidth="1"/>
  </cols>
  <sheetData>
    <row r="1" spans="1:15">
      <c r="A1" s="64"/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</row>
    <row r="2" spans="1:15">
      <c r="A2" s="64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</row>
    <row r="3" spans="1:15" ht="24" customHeight="1">
      <c r="A3" s="65"/>
      <c r="B3" s="68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</row>
    <row r="4" spans="1:15" ht="14.1" customHeight="1">
      <c r="A4" s="66"/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</row>
    <row r="5" spans="1:15">
      <c r="A5" s="64"/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</row>
    <row r="6" spans="1:15" ht="27.95" customHeight="1">
      <c r="A6" s="67" t="s">
        <v>0</v>
      </c>
      <c r="B6" s="67" t="s">
        <v>1</v>
      </c>
      <c r="C6" s="67" t="s">
        <v>2</v>
      </c>
      <c r="D6" s="67" t="s">
        <v>3</v>
      </c>
      <c r="E6" s="67" t="s">
        <v>4</v>
      </c>
      <c r="F6" s="67" t="s">
        <v>5</v>
      </c>
      <c r="G6" s="67" t="s">
        <v>6</v>
      </c>
      <c r="H6" s="67" t="s">
        <v>7</v>
      </c>
      <c r="I6" s="67" t="s">
        <v>8</v>
      </c>
      <c r="J6" s="67" t="s">
        <v>9</v>
      </c>
      <c r="K6" s="67" t="s">
        <v>10</v>
      </c>
      <c r="L6" s="67" t="s">
        <v>11</v>
      </c>
      <c r="M6" s="67" t="s">
        <v>12</v>
      </c>
      <c r="N6" s="67" t="s">
        <v>13</v>
      </c>
      <c r="O6" s="67" t="s">
        <v>14</v>
      </c>
    </row>
    <row r="7" spans="1:15">
      <c r="A7" s="45" t="s">
        <v>173</v>
      </c>
      <c r="B7" s="45" t="s">
        <v>16</v>
      </c>
      <c r="C7" s="46">
        <v>300000</v>
      </c>
      <c r="D7" s="47">
        <v>0.03</v>
      </c>
      <c r="E7" s="46">
        <f t="shared" ref="E7:E64" si="0">D7*C7</f>
        <v>9000</v>
      </c>
      <c r="F7" s="45" t="s">
        <v>17</v>
      </c>
      <c r="G7" s="48">
        <v>1</v>
      </c>
      <c r="H7" s="45" t="s">
        <v>39</v>
      </c>
      <c r="I7" s="45" t="s">
        <v>35</v>
      </c>
      <c r="J7" s="54">
        <v>46288</v>
      </c>
      <c r="K7" s="45" t="s">
        <v>20</v>
      </c>
      <c r="L7" s="45" t="s">
        <v>174</v>
      </c>
      <c r="M7" s="54">
        <v>46288</v>
      </c>
      <c r="N7" s="45" t="s">
        <v>175</v>
      </c>
      <c r="O7" s="45" t="s">
        <v>176</v>
      </c>
    </row>
    <row r="8" spans="1:15">
      <c r="A8" s="50" t="s">
        <v>177</v>
      </c>
      <c r="B8" s="50" t="s">
        <v>16</v>
      </c>
      <c r="C8" s="51">
        <v>500000</v>
      </c>
      <c r="D8" s="52">
        <v>0.03</v>
      </c>
      <c r="E8" s="46">
        <f t="shared" si="0"/>
        <v>15000</v>
      </c>
      <c r="F8" s="50" t="s">
        <v>17</v>
      </c>
      <c r="G8" s="53">
        <v>1</v>
      </c>
      <c r="H8" s="50" t="s">
        <v>39</v>
      </c>
      <c r="I8" s="50" t="s">
        <v>35</v>
      </c>
      <c r="J8" s="54">
        <v>46288</v>
      </c>
      <c r="K8" s="50" t="s">
        <v>20</v>
      </c>
      <c r="L8" s="50" t="s">
        <v>174</v>
      </c>
      <c r="M8" s="54">
        <v>46288</v>
      </c>
      <c r="N8" s="45"/>
      <c r="O8" s="45" t="s">
        <v>178</v>
      </c>
    </row>
    <row r="9" spans="1:15">
      <c r="A9" s="45" t="s">
        <v>179</v>
      </c>
      <c r="B9" s="45" t="s">
        <v>16</v>
      </c>
      <c r="C9" s="46">
        <v>300000</v>
      </c>
      <c r="D9" s="47">
        <v>0.03</v>
      </c>
      <c r="E9" s="46">
        <f t="shared" si="0"/>
        <v>9000</v>
      </c>
      <c r="F9" s="45" t="s">
        <v>66</v>
      </c>
      <c r="G9" s="48">
        <v>1</v>
      </c>
      <c r="H9" s="45" t="s">
        <v>39</v>
      </c>
      <c r="I9" s="76" t="s">
        <v>180</v>
      </c>
      <c r="J9" s="54">
        <v>46288</v>
      </c>
      <c r="K9" s="45" t="s">
        <v>20</v>
      </c>
      <c r="L9" s="45" t="s">
        <v>32</v>
      </c>
      <c r="M9" s="49"/>
      <c r="N9" s="45"/>
      <c r="O9" s="45" t="s">
        <v>181</v>
      </c>
    </row>
    <row r="10" spans="1:15">
      <c r="A10" s="50" t="s">
        <v>182</v>
      </c>
      <c r="B10" s="50" t="s">
        <v>16</v>
      </c>
      <c r="C10" s="51">
        <v>300000</v>
      </c>
      <c r="D10" s="52">
        <v>0.03</v>
      </c>
      <c r="E10" s="46">
        <f t="shared" ref="E10" si="1">D10*C10</f>
        <v>9000</v>
      </c>
      <c r="F10" s="50" t="s">
        <v>17</v>
      </c>
      <c r="G10" s="53">
        <v>1</v>
      </c>
      <c r="H10" s="50" t="s">
        <v>18</v>
      </c>
      <c r="I10" s="50" t="s">
        <v>35</v>
      </c>
      <c r="J10" s="54">
        <v>46288</v>
      </c>
      <c r="K10" s="50" t="s">
        <v>20</v>
      </c>
      <c r="L10" s="45" t="s">
        <v>21</v>
      </c>
      <c r="M10" s="54"/>
      <c r="N10" s="50"/>
      <c r="O10" s="50" t="s">
        <v>183</v>
      </c>
    </row>
    <row r="11" spans="1:15">
      <c r="A11" s="45" t="s">
        <v>184</v>
      </c>
      <c r="B11" s="45" t="s">
        <v>16</v>
      </c>
      <c r="C11" s="46">
        <v>300000</v>
      </c>
      <c r="D11" s="47">
        <v>0.03</v>
      </c>
      <c r="E11" s="46">
        <f t="shared" ref="E11" si="2">D11*C11</f>
        <v>9000</v>
      </c>
      <c r="F11" s="45" t="s">
        <v>17</v>
      </c>
      <c r="G11" s="48">
        <v>1</v>
      </c>
      <c r="H11" s="45" t="s">
        <v>18</v>
      </c>
      <c r="I11" s="45" t="s">
        <v>35</v>
      </c>
      <c r="J11" s="54">
        <v>46288</v>
      </c>
      <c r="K11" s="45" t="s">
        <v>20</v>
      </c>
      <c r="L11" s="45" t="s">
        <v>21</v>
      </c>
      <c r="M11" s="54"/>
      <c r="N11" s="50"/>
      <c r="O11" s="50" t="s">
        <v>185</v>
      </c>
    </row>
    <row r="12" spans="1:15">
      <c r="A12" s="45" t="s">
        <v>186</v>
      </c>
      <c r="B12" s="45" t="s">
        <v>16</v>
      </c>
      <c r="C12" s="46">
        <v>500000</v>
      </c>
      <c r="D12" s="47">
        <v>0.03</v>
      </c>
      <c r="E12" s="46">
        <f t="shared" si="0"/>
        <v>15000</v>
      </c>
      <c r="F12" s="45" t="s">
        <v>66</v>
      </c>
      <c r="G12" s="48">
        <v>1</v>
      </c>
      <c r="H12" s="45" t="s">
        <v>39</v>
      </c>
      <c r="I12" s="76" t="s">
        <v>180</v>
      </c>
      <c r="J12" s="54">
        <v>46288</v>
      </c>
      <c r="K12" s="45" t="s">
        <v>20</v>
      </c>
      <c r="L12" s="45" t="s">
        <v>32</v>
      </c>
      <c r="M12" s="49"/>
      <c r="N12" s="45"/>
      <c r="O12" s="45" t="s">
        <v>181</v>
      </c>
    </row>
    <row r="13" spans="1:15">
      <c r="A13" s="45" t="s">
        <v>187</v>
      </c>
      <c r="B13" s="45" t="s">
        <v>16</v>
      </c>
      <c r="C13" s="46">
        <v>600000</v>
      </c>
      <c r="D13" s="47">
        <v>7.4999999999999997E-3</v>
      </c>
      <c r="E13" s="46">
        <f t="shared" si="0"/>
        <v>4500</v>
      </c>
      <c r="F13" s="45" t="s">
        <v>66</v>
      </c>
      <c r="G13" s="48">
        <v>1</v>
      </c>
      <c r="H13" s="45" t="s">
        <v>107</v>
      </c>
      <c r="I13" s="45" t="s">
        <v>35</v>
      </c>
      <c r="J13" s="54">
        <v>46288</v>
      </c>
      <c r="K13" s="45" t="s">
        <v>66</v>
      </c>
      <c r="L13" s="45" t="s">
        <v>188</v>
      </c>
      <c r="M13" s="49">
        <v>46274</v>
      </c>
      <c r="N13" s="45"/>
      <c r="O13" s="50" t="s">
        <v>189</v>
      </c>
    </row>
    <row r="14" spans="1:15">
      <c r="A14" s="45" t="s">
        <v>187</v>
      </c>
      <c r="B14" s="45" t="s">
        <v>16</v>
      </c>
      <c r="C14" s="46">
        <v>5000000</v>
      </c>
      <c r="D14" s="47">
        <v>0.01</v>
      </c>
      <c r="E14" s="46">
        <f t="shared" si="0"/>
        <v>50000</v>
      </c>
      <c r="F14" s="45" t="s">
        <v>66</v>
      </c>
      <c r="G14" s="48">
        <v>1</v>
      </c>
      <c r="H14" s="45" t="s">
        <v>125</v>
      </c>
      <c r="I14" s="45" t="s">
        <v>35</v>
      </c>
      <c r="J14" s="54">
        <v>46288</v>
      </c>
      <c r="K14" s="45" t="s">
        <v>20</v>
      </c>
      <c r="L14" s="45" t="s">
        <v>32</v>
      </c>
      <c r="M14" s="49"/>
      <c r="N14" s="45"/>
      <c r="O14" s="50" t="s">
        <v>189</v>
      </c>
    </row>
    <row r="15" spans="1:15">
      <c r="A15" s="50" t="s">
        <v>190</v>
      </c>
      <c r="B15" s="50" t="s">
        <v>16</v>
      </c>
      <c r="C15" s="51">
        <v>5000000</v>
      </c>
      <c r="D15" s="52">
        <v>0.01</v>
      </c>
      <c r="E15" s="46">
        <f t="shared" si="0"/>
        <v>50000</v>
      </c>
      <c r="F15" s="50" t="s">
        <v>66</v>
      </c>
      <c r="G15" s="53">
        <v>1</v>
      </c>
      <c r="H15" s="50" t="s">
        <v>125</v>
      </c>
      <c r="I15" s="50" t="s">
        <v>35</v>
      </c>
      <c r="J15" s="54">
        <v>46288</v>
      </c>
      <c r="K15" s="50" t="s">
        <v>20</v>
      </c>
      <c r="L15" s="50" t="s">
        <v>32</v>
      </c>
      <c r="M15" s="54"/>
      <c r="N15" s="50"/>
      <c r="O15" s="50" t="s">
        <v>189</v>
      </c>
    </row>
    <row r="16" spans="1:15">
      <c r="A16" s="45" t="s">
        <v>191</v>
      </c>
      <c r="B16" s="45" t="s">
        <v>16</v>
      </c>
      <c r="C16" s="46">
        <v>150000</v>
      </c>
      <c r="D16" s="47">
        <v>0</v>
      </c>
      <c r="E16" s="46">
        <f t="shared" si="0"/>
        <v>0</v>
      </c>
      <c r="F16" s="45" t="s">
        <v>17</v>
      </c>
      <c r="G16" s="48">
        <v>1</v>
      </c>
      <c r="H16" s="45" t="s">
        <v>192</v>
      </c>
      <c r="I16" s="45" t="s">
        <v>19</v>
      </c>
      <c r="J16" s="54">
        <v>46288</v>
      </c>
      <c r="K16" s="45" t="s">
        <v>20</v>
      </c>
      <c r="L16" s="45" t="s">
        <v>188</v>
      </c>
      <c r="M16" s="49">
        <v>46274</v>
      </c>
      <c r="N16" s="45"/>
      <c r="O16" s="45" t="s">
        <v>193</v>
      </c>
    </row>
    <row r="17" spans="1:15" s="117" customFormat="1">
      <c r="A17" s="45" t="s">
        <v>191</v>
      </c>
      <c r="B17" s="45" t="s">
        <v>55</v>
      </c>
      <c r="C17" s="46">
        <v>500000</v>
      </c>
      <c r="D17" s="47">
        <v>0.05</v>
      </c>
      <c r="E17" s="46">
        <f t="shared" ref="E17" si="3">D17*C17</f>
        <v>25000</v>
      </c>
      <c r="F17" s="45" t="s">
        <v>17</v>
      </c>
      <c r="G17" s="48">
        <v>1</v>
      </c>
      <c r="H17" s="45" t="s">
        <v>18</v>
      </c>
      <c r="I17" s="45" t="s">
        <v>19</v>
      </c>
      <c r="J17" s="54">
        <v>46288</v>
      </c>
      <c r="K17" s="45" t="s">
        <v>20</v>
      </c>
      <c r="L17" s="45" t="s">
        <v>21</v>
      </c>
      <c r="M17" s="49"/>
      <c r="N17" s="45"/>
      <c r="O17" s="45"/>
    </row>
    <row r="18" spans="1:15">
      <c r="A18" s="50" t="s">
        <v>191</v>
      </c>
      <c r="B18" s="50" t="s">
        <v>16</v>
      </c>
      <c r="C18" s="51">
        <v>300000</v>
      </c>
      <c r="D18" s="52">
        <v>0</v>
      </c>
      <c r="E18" s="46">
        <f t="shared" si="0"/>
        <v>0</v>
      </c>
      <c r="F18" s="50" t="s">
        <v>17</v>
      </c>
      <c r="G18" s="53">
        <v>1</v>
      </c>
      <c r="H18" s="50" t="s">
        <v>99</v>
      </c>
      <c r="I18" s="50" t="s">
        <v>19</v>
      </c>
      <c r="J18" s="54">
        <v>46288</v>
      </c>
      <c r="K18" s="50" t="s">
        <v>20</v>
      </c>
      <c r="L18" s="50" t="s">
        <v>32</v>
      </c>
      <c r="M18" s="54"/>
      <c r="N18" s="50"/>
      <c r="O18" s="50" t="s">
        <v>194</v>
      </c>
    </row>
    <row r="19" spans="1:15">
      <c r="A19" s="50" t="s">
        <v>195</v>
      </c>
      <c r="B19" s="50" t="s">
        <v>16</v>
      </c>
      <c r="C19" s="51">
        <v>4000000</v>
      </c>
      <c r="D19" s="52">
        <v>0.03</v>
      </c>
      <c r="E19" s="46">
        <f t="shared" si="0"/>
        <v>120000</v>
      </c>
      <c r="F19" s="50" t="s">
        <v>26</v>
      </c>
      <c r="G19" s="53">
        <v>1</v>
      </c>
      <c r="H19" s="50" t="s">
        <v>125</v>
      </c>
      <c r="I19" s="50" t="s">
        <v>19</v>
      </c>
      <c r="J19" s="54">
        <v>46288</v>
      </c>
      <c r="K19" s="50" t="s">
        <v>26</v>
      </c>
      <c r="L19" s="50" t="s">
        <v>32</v>
      </c>
      <c r="M19" s="54"/>
      <c r="N19" s="50"/>
      <c r="O19" s="50" t="s">
        <v>196</v>
      </c>
    </row>
    <row r="20" spans="1:15" s="117" customFormat="1">
      <c r="A20" s="50" t="s">
        <v>195</v>
      </c>
      <c r="B20" s="50" t="s">
        <v>16</v>
      </c>
      <c r="C20" s="51">
        <v>1500000</v>
      </c>
      <c r="D20" s="52">
        <v>0.03</v>
      </c>
      <c r="E20" s="46">
        <f t="shared" ref="E20" si="4">D20*C20</f>
        <v>45000</v>
      </c>
      <c r="F20" s="50" t="s">
        <v>26</v>
      </c>
      <c r="G20" s="53">
        <v>1</v>
      </c>
      <c r="H20" s="50" t="s">
        <v>107</v>
      </c>
      <c r="I20" s="50" t="s">
        <v>19</v>
      </c>
      <c r="J20" s="54">
        <v>46288</v>
      </c>
      <c r="K20" s="50" t="s">
        <v>26</v>
      </c>
      <c r="L20" s="50" t="s">
        <v>32</v>
      </c>
      <c r="M20" s="54"/>
      <c r="N20" s="50"/>
      <c r="O20" s="50"/>
    </row>
    <row r="21" spans="1:15" s="117" customFormat="1">
      <c r="A21" s="50" t="s">
        <v>195</v>
      </c>
      <c r="B21" s="50" t="s">
        <v>16</v>
      </c>
      <c r="C21" s="51">
        <v>1500000</v>
      </c>
      <c r="D21" s="52">
        <v>0.03</v>
      </c>
      <c r="E21" s="46">
        <f t="shared" ref="E21" si="5">D21*C21</f>
        <v>45000</v>
      </c>
      <c r="F21" s="50" t="s">
        <v>26</v>
      </c>
      <c r="G21" s="53">
        <v>1</v>
      </c>
      <c r="H21" s="50" t="s">
        <v>44</v>
      </c>
      <c r="I21" s="50" t="s">
        <v>19</v>
      </c>
      <c r="J21" s="54">
        <v>46288</v>
      </c>
      <c r="K21" s="50" t="s">
        <v>26</v>
      </c>
      <c r="L21" s="50" t="s">
        <v>32</v>
      </c>
      <c r="M21" s="54"/>
      <c r="N21" s="50"/>
      <c r="O21" s="50"/>
    </row>
    <row r="22" spans="1:15">
      <c r="A22" s="45" t="s">
        <v>197</v>
      </c>
      <c r="B22" s="45" t="s">
        <v>16</v>
      </c>
      <c r="C22" s="46">
        <v>1000000</v>
      </c>
      <c r="D22" s="47">
        <v>0.05</v>
      </c>
      <c r="E22" s="46">
        <f t="shared" si="0"/>
        <v>50000</v>
      </c>
      <c r="F22" s="45" t="s">
        <v>17</v>
      </c>
      <c r="G22" s="48">
        <v>1</v>
      </c>
      <c r="H22" s="45" t="s">
        <v>18</v>
      </c>
      <c r="I22" s="45" t="s">
        <v>35</v>
      </c>
      <c r="J22" s="54">
        <v>46288</v>
      </c>
      <c r="K22" s="45" t="s">
        <v>20</v>
      </c>
      <c r="L22" s="45" t="s">
        <v>32</v>
      </c>
      <c r="M22" s="49"/>
      <c r="N22" s="45"/>
      <c r="O22" s="50" t="s">
        <v>196</v>
      </c>
    </row>
    <row r="23" spans="1:15">
      <c r="A23" s="50" t="s">
        <v>198</v>
      </c>
      <c r="B23" s="50" t="s">
        <v>16</v>
      </c>
      <c r="C23" s="51">
        <v>1000000</v>
      </c>
      <c r="D23" s="52">
        <v>0.05</v>
      </c>
      <c r="E23" s="46">
        <f t="shared" si="0"/>
        <v>50000</v>
      </c>
      <c r="F23" s="50" t="s">
        <v>17</v>
      </c>
      <c r="G23" s="53">
        <v>1</v>
      </c>
      <c r="H23" s="45" t="s">
        <v>18</v>
      </c>
      <c r="I23" s="50" t="s">
        <v>35</v>
      </c>
      <c r="J23" s="54">
        <v>46288</v>
      </c>
      <c r="K23" s="50" t="s">
        <v>20</v>
      </c>
      <c r="L23" s="50" t="s">
        <v>32</v>
      </c>
      <c r="M23" s="54"/>
      <c r="N23" s="50"/>
      <c r="O23" s="50" t="s">
        <v>196</v>
      </c>
    </row>
    <row r="24" spans="1:15">
      <c r="A24" s="45" t="s">
        <v>199</v>
      </c>
      <c r="B24" s="45" t="s">
        <v>16</v>
      </c>
      <c r="C24" s="46">
        <v>1000000</v>
      </c>
      <c r="D24" s="47">
        <v>0.05</v>
      </c>
      <c r="E24" s="46">
        <f t="shared" si="0"/>
        <v>50000</v>
      </c>
      <c r="F24" s="45" t="s">
        <v>17</v>
      </c>
      <c r="G24" s="48">
        <v>1</v>
      </c>
      <c r="H24" s="45" t="s">
        <v>18</v>
      </c>
      <c r="I24" s="45" t="s">
        <v>35</v>
      </c>
      <c r="J24" s="54">
        <v>46288</v>
      </c>
      <c r="K24" s="45" t="s">
        <v>20</v>
      </c>
      <c r="L24" s="45" t="s">
        <v>32</v>
      </c>
      <c r="M24" s="49"/>
      <c r="N24" s="45"/>
      <c r="O24" s="50" t="s">
        <v>196</v>
      </c>
    </row>
    <row r="25" spans="1:15">
      <c r="A25" s="50" t="s">
        <v>200</v>
      </c>
      <c r="B25" s="50" t="s">
        <v>29</v>
      </c>
      <c r="C25" s="51">
        <v>3000000</v>
      </c>
      <c r="D25" s="52">
        <v>0.05</v>
      </c>
      <c r="E25" s="46">
        <f t="shared" si="0"/>
        <v>150000</v>
      </c>
      <c r="F25" s="50" t="s">
        <v>26</v>
      </c>
      <c r="G25" s="53">
        <v>1</v>
      </c>
      <c r="H25" s="45" t="s">
        <v>18</v>
      </c>
      <c r="I25" s="50" t="s">
        <v>35</v>
      </c>
      <c r="J25" s="54">
        <v>46288</v>
      </c>
      <c r="K25" s="50" t="s">
        <v>66</v>
      </c>
      <c r="L25" s="50" t="s">
        <v>32</v>
      </c>
      <c r="M25" s="54"/>
      <c r="N25" s="50"/>
      <c r="O25" s="50" t="s">
        <v>196</v>
      </c>
    </row>
    <row r="26" spans="1:15">
      <c r="A26" s="50" t="s">
        <v>201</v>
      </c>
      <c r="B26" s="45" t="s">
        <v>42</v>
      </c>
      <c r="C26" s="46">
        <v>500000</v>
      </c>
      <c r="D26" s="52">
        <v>0.15</v>
      </c>
      <c r="E26" s="46">
        <f t="shared" si="0"/>
        <v>75000</v>
      </c>
      <c r="F26" s="50" t="s">
        <v>17</v>
      </c>
      <c r="G26" s="53">
        <v>1</v>
      </c>
      <c r="H26" s="45" t="s">
        <v>18</v>
      </c>
      <c r="I26" s="45" t="s">
        <v>202</v>
      </c>
      <c r="J26" s="54">
        <v>46288</v>
      </c>
      <c r="K26" s="50" t="s">
        <v>20</v>
      </c>
      <c r="L26" s="45" t="s">
        <v>32</v>
      </c>
      <c r="M26" s="54"/>
      <c r="N26" s="50"/>
      <c r="O26" s="50" t="s">
        <v>196</v>
      </c>
    </row>
    <row r="27" spans="1:15" s="117" customFormat="1">
      <c r="A27" s="50" t="s">
        <v>201</v>
      </c>
      <c r="B27" s="45" t="s">
        <v>55</v>
      </c>
      <c r="C27" s="46">
        <v>300000</v>
      </c>
      <c r="D27" s="52">
        <v>0.1</v>
      </c>
      <c r="E27" s="46">
        <f t="shared" ref="E27" si="6">D27*C27</f>
        <v>30000</v>
      </c>
      <c r="F27" s="50" t="s">
        <v>17</v>
      </c>
      <c r="G27" s="53">
        <v>1</v>
      </c>
      <c r="H27" s="45" t="s">
        <v>203</v>
      </c>
      <c r="I27" s="45" t="s">
        <v>202</v>
      </c>
      <c r="J27" s="54">
        <v>46288</v>
      </c>
      <c r="K27" s="50" t="s">
        <v>20</v>
      </c>
      <c r="L27" s="45" t="s">
        <v>32</v>
      </c>
      <c r="M27" s="54"/>
      <c r="N27" s="50"/>
      <c r="O27" s="50"/>
    </row>
    <row r="28" spans="1:15">
      <c r="A28" s="45" t="s">
        <v>204</v>
      </c>
      <c r="B28" s="45" t="s">
        <v>42</v>
      </c>
      <c r="C28" s="46">
        <v>500000</v>
      </c>
      <c r="D28" s="47">
        <v>0.15</v>
      </c>
      <c r="E28" s="46">
        <f t="shared" si="0"/>
        <v>75000</v>
      </c>
      <c r="F28" s="45" t="s">
        <v>17</v>
      </c>
      <c r="G28" s="48">
        <v>1</v>
      </c>
      <c r="H28" s="45" t="s">
        <v>18</v>
      </c>
      <c r="I28" s="45" t="s">
        <v>202</v>
      </c>
      <c r="J28" s="54">
        <v>46288</v>
      </c>
      <c r="K28" s="45" t="s">
        <v>20</v>
      </c>
      <c r="L28" s="45" t="s">
        <v>32</v>
      </c>
      <c r="M28" s="49"/>
      <c r="N28" s="45"/>
      <c r="O28" s="50" t="s">
        <v>196</v>
      </c>
    </row>
    <row r="29" spans="1:15" s="117" customFormat="1">
      <c r="A29" s="45" t="s">
        <v>204</v>
      </c>
      <c r="B29" s="45" t="s">
        <v>55</v>
      </c>
      <c r="C29" s="46">
        <v>500000</v>
      </c>
      <c r="D29" s="47">
        <v>0.1</v>
      </c>
      <c r="E29" s="46">
        <f t="shared" ref="E29" si="7">D29*C29</f>
        <v>50000</v>
      </c>
      <c r="F29" s="45" t="s">
        <v>17</v>
      </c>
      <c r="G29" s="48">
        <v>1</v>
      </c>
      <c r="H29" s="45" t="s">
        <v>203</v>
      </c>
      <c r="I29" s="45" t="s">
        <v>202</v>
      </c>
      <c r="J29" s="54">
        <v>46288</v>
      </c>
      <c r="K29" s="45" t="s">
        <v>20</v>
      </c>
      <c r="L29" s="45" t="s">
        <v>32</v>
      </c>
      <c r="M29" s="49"/>
      <c r="N29" s="45"/>
      <c r="O29" s="50"/>
    </row>
    <row r="30" spans="1:15">
      <c r="A30" s="45" t="s">
        <v>205</v>
      </c>
      <c r="B30" s="45" t="s">
        <v>42</v>
      </c>
      <c r="C30" s="46">
        <v>500000</v>
      </c>
      <c r="D30" s="47">
        <v>0.15</v>
      </c>
      <c r="E30" s="46">
        <f t="shared" si="0"/>
        <v>75000</v>
      </c>
      <c r="F30" s="45" t="s">
        <v>17</v>
      </c>
      <c r="G30" s="48">
        <v>1</v>
      </c>
      <c r="H30" s="45" t="s">
        <v>18</v>
      </c>
      <c r="I30" s="45" t="s">
        <v>202</v>
      </c>
      <c r="J30" s="54">
        <v>46288</v>
      </c>
      <c r="K30" s="45" t="s">
        <v>20</v>
      </c>
      <c r="L30" s="45" t="s">
        <v>32</v>
      </c>
      <c r="M30" s="49"/>
      <c r="N30" s="45"/>
      <c r="O30" s="50" t="s">
        <v>196</v>
      </c>
    </row>
    <row r="31" spans="1:15">
      <c r="A31" s="50" t="s">
        <v>206</v>
      </c>
      <c r="B31" s="50" t="s">
        <v>55</v>
      </c>
      <c r="C31" s="51">
        <v>1500000</v>
      </c>
      <c r="D31" s="52">
        <v>0.05</v>
      </c>
      <c r="E31" s="46">
        <f t="shared" si="0"/>
        <v>75000</v>
      </c>
      <c r="F31" s="50" t="s">
        <v>26</v>
      </c>
      <c r="G31" s="53">
        <v>1</v>
      </c>
      <c r="H31" s="45" t="s">
        <v>18</v>
      </c>
      <c r="I31" s="50" t="s">
        <v>59</v>
      </c>
      <c r="J31" s="54">
        <v>46288</v>
      </c>
      <c r="K31" s="50" t="s">
        <v>20</v>
      </c>
      <c r="L31" s="50" t="s">
        <v>32</v>
      </c>
      <c r="M31" s="54"/>
      <c r="N31" s="50"/>
      <c r="O31" s="50" t="s">
        <v>196</v>
      </c>
    </row>
    <row r="32" spans="1:15">
      <c r="A32" s="104" t="s">
        <v>207</v>
      </c>
      <c r="B32" s="45" t="s">
        <v>42</v>
      </c>
      <c r="C32" s="46">
        <v>500000</v>
      </c>
      <c r="D32" s="47">
        <v>0.15</v>
      </c>
      <c r="E32" s="46">
        <f t="shared" si="0"/>
        <v>75000</v>
      </c>
      <c r="F32" s="45" t="s">
        <v>17</v>
      </c>
      <c r="G32" s="48">
        <v>1</v>
      </c>
      <c r="H32" s="45" t="s">
        <v>18</v>
      </c>
      <c r="I32" s="45" t="s">
        <v>208</v>
      </c>
      <c r="J32" s="54">
        <v>46288</v>
      </c>
      <c r="K32" s="45" t="s">
        <v>20</v>
      </c>
      <c r="L32" s="45" t="s">
        <v>32</v>
      </c>
      <c r="M32" s="49"/>
      <c r="N32" s="45"/>
      <c r="O32" s="45" t="s">
        <v>196</v>
      </c>
    </row>
    <row r="33" spans="1:15">
      <c r="A33" s="104" t="s">
        <v>209</v>
      </c>
      <c r="B33" s="50" t="s">
        <v>42</v>
      </c>
      <c r="C33" s="51">
        <v>500000</v>
      </c>
      <c r="D33" s="52">
        <v>0.15</v>
      </c>
      <c r="E33" s="46">
        <f t="shared" si="0"/>
        <v>75000</v>
      </c>
      <c r="F33" s="50" t="s">
        <v>17</v>
      </c>
      <c r="G33" s="53">
        <v>1</v>
      </c>
      <c r="H33" s="50" t="s">
        <v>18</v>
      </c>
      <c r="I33" s="45" t="s">
        <v>208</v>
      </c>
      <c r="J33" s="54">
        <v>46288</v>
      </c>
      <c r="K33" s="50" t="s">
        <v>20</v>
      </c>
      <c r="L33" s="50" t="s">
        <v>32</v>
      </c>
      <c r="M33" s="54"/>
      <c r="N33" s="50"/>
      <c r="O33" s="50" t="s">
        <v>196</v>
      </c>
    </row>
    <row r="34" spans="1:15">
      <c r="A34" s="45" t="s">
        <v>210</v>
      </c>
      <c r="B34" s="45" t="s">
        <v>42</v>
      </c>
      <c r="C34" s="46">
        <v>500000</v>
      </c>
      <c r="D34" s="47">
        <v>0.15</v>
      </c>
      <c r="E34" s="46">
        <f t="shared" si="0"/>
        <v>75000</v>
      </c>
      <c r="F34" s="45" t="s">
        <v>17</v>
      </c>
      <c r="G34" s="48">
        <v>1</v>
      </c>
      <c r="H34" s="45" t="s">
        <v>18</v>
      </c>
      <c r="I34" s="45" t="s">
        <v>208</v>
      </c>
      <c r="J34" s="54">
        <v>46288</v>
      </c>
      <c r="K34" s="45" t="s">
        <v>20</v>
      </c>
      <c r="L34" s="45" t="s">
        <v>32</v>
      </c>
      <c r="M34" s="49"/>
      <c r="N34" s="45"/>
      <c r="O34" s="45" t="s">
        <v>196</v>
      </c>
    </row>
    <row r="35" spans="1:15">
      <c r="A35" s="50" t="s">
        <v>211</v>
      </c>
      <c r="B35" s="50" t="s">
        <v>16</v>
      </c>
      <c r="C35" s="51">
        <v>200000</v>
      </c>
      <c r="D35" s="52">
        <v>0.03</v>
      </c>
      <c r="E35" s="46">
        <f t="shared" si="0"/>
        <v>6000</v>
      </c>
      <c r="F35" s="50" t="s">
        <v>17</v>
      </c>
      <c r="G35" s="53">
        <v>1</v>
      </c>
      <c r="H35" s="50" t="s">
        <v>18</v>
      </c>
      <c r="I35" s="50" t="s">
        <v>212</v>
      </c>
      <c r="J35" s="54">
        <v>46288</v>
      </c>
      <c r="K35" s="50" t="s">
        <v>20</v>
      </c>
      <c r="L35" s="45" t="s">
        <v>32</v>
      </c>
      <c r="M35" s="54"/>
      <c r="N35" s="50"/>
      <c r="O35" s="50" t="s">
        <v>196</v>
      </c>
    </row>
    <row r="36" spans="1:15">
      <c r="A36" s="50" t="s">
        <v>211</v>
      </c>
      <c r="B36" s="50" t="s">
        <v>16</v>
      </c>
      <c r="C36" s="51">
        <v>200000</v>
      </c>
      <c r="D36" s="52">
        <v>0.03</v>
      </c>
      <c r="E36" s="46">
        <f t="shared" ref="E36:E38" si="8">D36*C36</f>
        <v>6000</v>
      </c>
      <c r="F36" s="50" t="s">
        <v>17</v>
      </c>
      <c r="G36" s="53">
        <v>1</v>
      </c>
      <c r="H36" s="50" t="s">
        <v>44</v>
      </c>
      <c r="I36" s="50" t="s">
        <v>212</v>
      </c>
      <c r="J36" s="54">
        <v>46288</v>
      </c>
      <c r="K36" s="50" t="s">
        <v>20</v>
      </c>
      <c r="L36" s="45" t="s">
        <v>188</v>
      </c>
      <c r="M36" s="54">
        <v>46288</v>
      </c>
      <c r="N36" s="50"/>
      <c r="O36" s="50" t="s">
        <v>196</v>
      </c>
    </row>
    <row r="37" spans="1:15">
      <c r="A37" s="50" t="s">
        <v>211</v>
      </c>
      <c r="B37" s="50" t="s">
        <v>16</v>
      </c>
      <c r="C37" s="51">
        <v>200000</v>
      </c>
      <c r="D37" s="52">
        <v>0.03</v>
      </c>
      <c r="E37" s="46">
        <f t="shared" si="8"/>
        <v>6000</v>
      </c>
      <c r="F37" s="50" t="s">
        <v>17</v>
      </c>
      <c r="G37" s="53">
        <v>1</v>
      </c>
      <c r="H37" s="50" t="s">
        <v>107</v>
      </c>
      <c r="I37" s="50" t="s">
        <v>212</v>
      </c>
      <c r="J37" s="54">
        <v>46288</v>
      </c>
      <c r="K37" s="50" t="s">
        <v>20</v>
      </c>
      <c r="L37" s="45" t="s">
        <v>174</v>
      </c>
      <c r="M37" s="54"/>
      <c r="N37" s="50"/>
      <c r="O37" s="50" t="s">
        <v>196</v>
      </c>
    </row>
    <row r="38" spans="1:15" s="117" customFormat="1">
      <c r="A38" s="50" t="s">
        <v>211</v>
      </c>
      <c r="B38" s="50" t="s">
        <v>16</v>
      </c>
      <c r="C38" s="51">
        <v>200000</v>
      </c>
      <c r="D38" s="52">
        <v>0.03</v>
      </c>
      <c r="E38" s="46">
        <f t="shared" si="8"/>
        <v>6000</v>
      </c>
      <c r="F38" s="50" t="s">
        <v>17</v>
      </c>
      <c r="G38" s="53">
        <v>1</v>
      </c>
      <c r="H38" s="50" t="s">
        <v>30</v>
      </c>
      <c r="I38" s="50" t="s">
        <v>212</v>
      </c>
      <c r="J38" s="54">
        <v>46288</v>
      </c>
      <c r="K38" s="50" t="s">
        <v>20</v>
      </c>
      <c r="L38" s="45" t="s">
        <v>32</v>
      </c>
      <c r="M38" s="54"/>
      <c r="N38" s="50"/>
      <c r="O38" s="50"/>
    </row>
    <row r="39" spans="1:15">
      <c r="A39" s="45" t="s">
        <v>213</v>
      </c>
      <c r="B39" s="45" t="s">
        <v>29</v>
      </c>
      <c r="C39" s="46">
        <v>10000000</v>
      </c>
      <c r="D39" s="47">
        <v>2.5000000000000001E-2</v>
      </c>
      <c r="E39" s="46">
        <f t="shared" si="0"/>
        <v>250000</v>
      </c>
      <c r="F39" s="45" t="s">
        <v>17</v>
      </c>
      <c r="G39" s="48">
        <v>1</v>
      </c>
      <c r="H39" s="45" t="s">
        <v>18</v>
      </c>
      <c r="I39" s="45" t="s">
        <v>214</v>
      </c>
      <c r="J39" s="54">
        <v>46286</v>
      </c>
      <c r="K39" s="45" t="s">
        <v>20</v>
      </c>
      <c r="L39" s="45" t="s">
        <v>32</v>
      </c>
      <c r="M39" s="49"/>
      <c r="N39" s="45"/>
      <c r="O39" s="45"/>
    </row>
    <row r="40" spans="1:15">
      <c r="A40" s="50" t="s">
        <v>215</v>
      </c>
      <c r="B40" s="50" t="s">
        <v>216</v>
      </c>
      <c r="C40" s="51">
        <v>4000000</v>
      </c>
      <c r="D40" s="52">
        <v>0.05</v>
      </c>
      <c r="E40" s="46">
        <f t="shared" si="0"/>
        <v>200000</v>
      </c>
      <c r="F40" s="50" t="s">
        <v>48</v>
      </c>
      <c r="G40" s="53">
        <v>1</v>
      </c>
      <c r="H40" s="50" t="s">
        <v>18</v>
      </c>
      <c r="I40" s="50" t="s">
        <v>35</v>
      </c>
      <c r="J40" s="54">
        <v>46286</v>
      </c>
      <c r="K40" s="50" t="s">
        <v>134</v>
      </c>
      <c r="L40" s="50" t="s">
        <v>32</v>
      </c>
      <c r="M40" s="54" t="s">
        <v>217</v>
      </c>
      <c r="N40" s="50"/>
      <c r="O40" s="50"/>
    </row>
    <row r="41" spans="1:15">
      <c r="A41" s="45"/>
      <c r="B41" s="45"/>
      <c r="C41" s="46"/>
      <c r="D41" s="47"/>
      <c r="E41" s="46">
        <f t="shared" si="0"/>
        <v>0</v>
      </c>
      <c r="F41" s="45"/>
      <c r="G41" s="48"/>
      <c r="H41" s="45"/>
      <c r="I41" s="45"/>
      <c r="J41" s="49"/>
      <c r="K41" s="45"/>
      <c r="L41" s="45"/>
      <c r="M41" s="49"/>
      <c r="N41" s="45"/>
      <c r="O41" s="45"/>
    </row>
    <row r="42" spans="1:15">
      <c r="A42" s="50"/>
      <c r="B42" s="50"/>
      <c r="C42" s="51"/>
      <c r="D42" s="52"/>
      <c r="E42" s="46">
        <f t="shared" si="0"/>
        <v>0</v>
      </c>
      <c r="F42" s="50"/>
      <c r="G42" s="53"/>
      <c r="H42" s="50"/>
      <c r="I42" s="50"/>
      <c r="J42" s="54"/>
      <c r="K42" s="50"/>
      <c r="L42" s="50"/>
      <c r="M42" s="54"/>
      <c r="N42" s="50"/>
      <c r="O42" s="50"/>
    </row>
    <row r="43" spans="1:15">
      <c r="A43" s="45"/>
      <c r="B43" s="45"/>
      <c r="C43" s="46"/>
      <c r="D43" s="47"/>
      <c r="E43" s="46">
        <f t="shared" si="0"/>
        <v>0</v>
      </c>
      <c r="F43" s="45"/>
      <c r="G43" s="48"/>
      <c r="H43" s="45"/>
      <c r="I43" s="45"/>
      <c r="J43" s="49"/>
      <c r="K43" s="45"/>
      <c r="L43" s="45"/>
      <c r="M43" s="49"/>
      <c r="N43" s="45"/>
      <c r="O43" s="45"/>
    </row>
    <row r="44" spans="1:15">
      <c r="A44" s="50"/>
      <c r="B44" s="50"/>
      <c r="C44" s="51"/>
      <c r="D44" s="52"/>
      <c r="E44" s="46">
        <f t="shared" si="0"/>
        <v>0</v>
      </c>
      <c r="F44" s="50"/>
      <c r="G44" s="53"/>
      <c r="H44" s="50"/>
      <c r="I44" s="50"/>
      <c r="J44" s="54"/>
      <c r="K44" s="50"/>
      <c r="L44" s="50"/>
      <c r="M44" s="54"/>
      <c r="N44" s="50"/>
      <c r="O44" s="50"/>
    </row>
    <row r="45" spans="1:15">
      <c r="A45" s="45"/>
      <c r="B45" s="45"/>
      <c r="C45" s="46"/>
      <c r="D45" s="47"/>
      <c r="E45" s="46">
        <f t="shared" si="0"/>
        <v>0</v>
      </c>
      <c r="F45" s="45"/>
      <c r="G45" s="48"/>
      <c r="H45" s="45"/>
      <c r="I45" s="45"/>
      <c r="J45" s="49"/>
      <c r="K45" s="45"/>
      <c r="L45" s="45"/>
      <c r="M45" s="49"/>
      <c r="N45" s="45"/>
      <c r="O45" s="45"/>
    </row>
    <row r="46" spans="1:15">
      <c r="A46" s="50"/>
      <c r="B46" s="50"/>
      <c r="C46" s="51"/>
      <c r="D46" s="52"/>
      <c r="E46" s="46">
        <f t="shared" si="0"/>
        <v>0</v>
      </c>
      <c r="F46" s="50"/>
      <c r="G46" s="53"/>
      <c r="H46" s="50"/>
      <c r="I46" s="50"/>
      <c r="J46" s="54"/>
      <c r="K46" s="50"/>
      <c r="L46" s="50"/>
      <c r="M46" s="54"/>
      <c r="N46" s="50"/>
      <c r="O46" s="50"/>
    </row>
    <row r="47" spans="1:15">
      <c r="A47" s="45"/>
      <c r="B47" s="45"/>
      <c r="C47" s="46"/>
      <c r="D47" s="47"/>
      <c r="E47" s="46">
        <f t="shared" si="0"/>
        <v>0</v>
      </c>
      <c r="F47" s="45"/>
      <c r="G47" s="48"/>
      <c r="H47" s="45"/>
      <c r="I47" s="45"/>
      <c r="J47" s="49"/>
      <c r="K47" s="45"/>
      <c r="L47" s="45"/>
      <c r="M47" s="49"/>
      <c r="N47" s="45"/>
      <c r="O47" s="45"/>
    </row>
    <row r="48" spans="1:15">
      <c r="A48" s="50"/>
      <c r="B48" s="50"/>
      <c r="C48" s="51"/>
      <c r="D48" s="52"/>
      <c r="E48" s="46">
        <f t="shared" si="0"/>
        <v>0</v>
      </c>
      <c r="F48" s="50"/>
      <c r="G48" s="53"/>
      <c r="H48" s="50"/>
      <c r="I48" s="50"/>
      <c r="J48" s="54"/>
      <c r="K48" s="50"/>
      <c r="L48" s="50"/>
      <c r="M48" s="54"/>
      <c r="N48" s="50"/>
      <c r="O48" s="50"/>
    </row>
    <row r="49" spans="1:15">
      <c r="A49" s="45"/>
      <c r="B49" s="45"/>
      <c r="C49" s="46"/>
      <c r="D49" s="47"/>
      <c r="E49" s="46">
        <f t="shared" si="0"/>
        <v>0</v>
      </c>
      <c r="F49" s="45"/>
      <c r="G49" s="48"/>
      <c r="H49" s="45"/>
      <c r="I49" s="45"/>
      <c r="J49" s="49"/>
      <c r="K49" s="45"/>
      <c r="L49" s="45"/>
      <c r="M49" s="49"/>
      <c r="N49" s="45"/>
      <c r="O49" s="45"/>
    </row>
    <row r="50" spans="1:15">
      <c r="A50" s="50"/>
      <c r="B50" s="50"/>
      <c r="C50" s="51"/>
      <c r="D50" s="52"/>
      <c r="E50" s="46">
        <f t="shared" si="0"/>
        <v>0</v>
      </c>
      <c r="F50" s="50"/>
      <c r="G50" s="53"/>
      <c r="H50" s="50"/>
      <c r="I50" s="50"/>
      <c r="J50" s="54"/>
      <c r="K50" s="50"/>
      <c r="L50" s="50"/>
      <c r="M50" s="54"/>
      <c r="N50" s="50"/>
      <c r="O50" s="50"/>
    </row>
    <row r="51" spans="1:15">
      <c r="A51" s="45"/>
      <c r="B51" s="45"/>
      <c r="C51" s="46"/>
      <c r="D51" s="47"/>
      <c r="E51" s="46">
        <f t="shared" si="0"/>
        <v>0</v>
      </c>
      <c r="F51" s="45"/>
      <c r="G51" s="48"/>
      <c r="H51" s="45"/>
      <c r="I51" s="45"/>
      <c r="J51" s="49"/>
      <c r="K51" s="45"/>
      <c r="L51" s="45"/>
      <c r="M51" s="49"/>
      <c r="N51" s="45"/>
      <c r="O51" s="45"/>
    </row>
    <row r="52" spans="1:15">
      <c r="A52" s="50"/>
      <c r="B52" s="50"/>
      <c r="C52" s="51"/>
      <c r="D52" s="52"/>
      <c r="E52" s="46">
        <f t="shared" si="0"/>
        <v>0</v>
      </c>
      <c r="F52" s="50"/>
      <c r="G52" s="53"/>
      <c r="H52" s="50"/>
      <c r="I52" s="50"/>
      <c r="J52" s="54"/>
      <c r="K52" s="50"/>
      <c r="L52" s="50"/>
      <c r="M52" s="54"/>
      <c r="N52" s="50"/>
      <c r="O52" s="50"/>
    </row>
    <row r="53" spans="1:15">
      <c r="A53" s="45"/>
      <c r="B53" s="45"/>
      <c r="C53" s="46"/>
      <c r="D53" s="47"/>
      <c r="E53" s="46">
        <f t="shared" si="0"/>
        <v>0</v>
      </c>
      <c r="F53" s="45"/>
      <c r="G53" s="48"/>
      <c r="H53" s="45"/>
      <c r="I53" s="45"/>
      <c r="J53" s="49"/>
      <c r="K53" s="45"/>
      <c r="L53" s="45"/>
      <c r="M53" s="49"/>
      <c r="N53" s="45"/>
      <c r="O53" s="45"/>
    </row>
    <row r="54" spans="1:15">
      <c r="A54" s="50"/>
      <c r="B54" s="50"/>
      <c r="C54" s="51"/>
      <c r="D54" s="52"/>
      <c r="E54" s="46">
        <f t="shared" si="0"/>
        <v>0</v>
      </c>
      <c r="F54" s="50"/>
      <c r="G54" s="53"/>
      <c r="H54" s="50"/>
      <c r="I54" s="50"/>
      <c r="J54" s="54"/>
      <c r="K54" s="50"/>
      <c r="L54" s="50"/>
      <c r="M54" s="54"/>
      <c r="N54" s="50"/>
      <c r="O54" s="50"/>
    </row>
    <row r="55" spans="1:15">
      <c r="A55" s="45"/>
      <c r="B55" s="45"/>
      <c r="C55" s="46"/>
      <c r="D55" s="47"/>
      <c r="E55" s="46">
        <f t="shared" si="0"/>
        <v>0</v>
      </c>
      <c r="F55" s="45"/>
      <c r="G55" s="48"/>
      <c r="H55" s="45"/>
      <c r="I55" s="45"/>
      <c r="J55" s="49"/>
      <c r="K55" s="45"/>
      <c r="L55" s="45"/>
      <c r="M55" s="49"/>
      <c r="N55" s="45"/>
      <c r="O55" s="45"/>
    </row>
    <row r="56" spans="1:15">
      <c r="A56" s="50"/>
      <c r="B56" s="50"/>
      <c r="C56" s="51"/>
      <c r="D56" s="52"/>
      <c r="E56" s="46">
        <f t="shared" si="0"/>
        <v>0</v>
      </c>
      <c r="F56" s="50"/>
      <c r="G56" s="53"/>
      <c r="H56" s="50"/>
      <c r="I56" s="50"/>
      <c r="J56" s="54"/>
      <c r="K56" s="50"/>
      <c r="L56" s="50"/>
      <c r="M56" s="54"/>
      <c r="N56" s="50"/>
      <c r="O56" s="50"/>
    </row>
    <row r="57" spans="1:15">
      <c r="A57" s="45"/>
      <c r="B57" s="45"/>
      <c r="C57" s="46"/>
      <c r="D57" s="47"/>
      <c r="E57" s="46">
        <f t="shared" si="0"/>
        <v>0</v>
      </c>
      <c r="F57" s="45"/>
      <c r="G57" s="48"/>
      <c r="H57" s="45"/>
      <c r="I57" s="45"/>
      <c r="J57" s="49"/>
      <c r="K57" s="45"/>
      <c r="L57" s="45"/>
      <c r="M57" s="49"/>
      <c r="N57" s="45"/>
      <c r="O57" s="45"/>
    </row>
    <row r="58" spans="1:15">
      <c r="A58" s="50"/>
      <c r="B58" s="50"/>
      <c r="C58" s="51"/>
      <c r="D58" s="52"/>
      <c r="E58" s="46">
        <f t="shared" si="0"/>
        <v>0</v>
      </c>
      <c r="F58" s="50"/>
      <c r="G58" s="53"/>
      <c r="H58" s="50"/>
      <c r="I58" s="50"/>
      <c r="J58" s="54"/>
      <c r="K58" s="50"/>
      <c r="L58" s="50"/>
      <c r="M58" s="54"/>
      <c r="N58" s="50"/>
      <c r="O58" s="50"/>
    </row>
    <row r="59" spans="1:15">
      <c r="A59" s="45"/>
      <c r="B59" s="45"/>
      <c r="C59" s="46"/>
      <c r="D59" s="47"/>
      <c r="E59" s="46">
        <f t="shared" si="0"/>
        <v>0</v>
      </c>
      <c r="F59" s="45"/>
      <c r="G59" s="48"/>
      <c r="H59" s="45"/>
      <c r="I59" s="45"/>
      <c r="J59" s="49"/>
      <c r="K59" s="45"/>
      <c r="L59" s="45"/>
      <c r="M59" s="49"/>
      <c r="N59" s="45"/>
      <c r="O59" s="45"/>
    </row>
    <row r="60" spans="1:15">
      <c r="A60" s="50"/>
      <c r="B60" s="50"/>
      <c r="C60" s="51"/>
      <c r="D60" s="52"/>
      <c r="E60" s="46">
        <f t="shared" si="0"/>
        <v>0</v>
      </c>
      <c r="F60" s="50"/>
      <c r="G60" s="53"/>
      <c r="H60" s="50"/>
      <c r="I60" s="50"/>
      <c r="J60" s="54"/>
      <c r="K60" s="50"/>
      <c r="L60" s="50"/>
      <c r="M60" s="54"/>
      <c r="N60" s="50"/>
      <c r="O60" s="50"/>
    </row>
    <row r="61" spans="1:15">
      <c r="A61" s="45"/>
      <c r="B61" s="45"/>
      <c r="C61" s="46"/>
      <c r="D61" s="47"/>
      <c r="E61" s="46">
        <f t="shared" si="0"/>
        <v>0</v>
      </c>
      <c r="F61" s="45"/>
      <c r="G61" s="48"/>
      <c r="H61" s="45"/>
      <c r="I61" s="45"/>
      <c r="J61" s="49"/>
      <c r="K61" s="45"/>
      <c r="L61" s="45"/>
      <c r="M61" s="49"/>
      <c r="N61" s="45"/>
      <c r="O61" s="45"/>
    </row>
    <row r="62" spans="1:15">
      <c r="A62" s="50"/>
      <c r="B62" s="50"/>
      <c r="C62" s="51"/>
      <c r="D62" s="52"/>
      <c r="E62" s="46">
        <f t="shared" si="0"/>
        <v>0</v>
      </c>
      <c r="F62" s="50"/>
      <c r="G62" s="53"/>
      <c r="H62" s="50"/>
      <c r="I62" s="50"/>
      <c r="J62" s="54"/>
      <c r="K62" s="50"/>
      <c r="L62" s="50"/>
      <c r="M62" s="54"/>
      <c r="N62" s="50"/>
      <c r="O62" s="50"/>
    </row>
    <row r="63" spans="1:15">
      <c r="A63" s="45"/>
      <c r="B63" s="45"/>
      <c r="C63" s="46"/>
      <c r="D63" s="47"/>
      <c r="E63" s="46">
        <f t="shared" si="0"/>
        <v>0</v>
      </c>
      <c r="F63" s="45"/>
      <c r="G63" s="48"/>
      <c r="H63" s="45"/>
      <c r="I63" s="45"/>
      <c r="J63" s="49"/>
      <c r="K63" s="45"/>
      <c r="L63" s="45"/>
      <c r="M63" s="49"/>
      <c r="N63" s="45"/>
      <c r="O63" s="45"/>
    </row>
    <row r="64" spans="1:15">
      <c r="A64" s="50"/>
      <c r="B64" s="50"/>
      <c r="C64" s="51"/>
      <c r="D64" s="52"/>
      <c r="E64" s="46">
        <f t="shared" si="0"/>
        <v>0</v>
      </c>
      <c r="F64" s="50"/>
      <c r="G64" s="53"/>
      <c r="H64" s="50"/>
      <c r="I64" s="50"/>
      <c r="J64" s="54"/>
      <c r="K64" s="50"/>
      <c r="L64" s="50"/>
      <c r="M64" s="54"/>
      <c r="N64" s="50"/>
      <c r="O64" s="50"/>
    </row>
    <row r="65" spans="1:15">
      <c r="A65" s="45"/>
      <c r="B65" s="45"/>
      <c r="C65" s="46"/>
      <c r="D65" s="47"/>
      <c r="E65" s="46">
        <f t="shared" ref="E65:E128" si="9">D65*C65</f>
        <v>0</v>
      </c>
      <c r="F65" s="45"/>
      <c r="G65" s="48"/>
      <c r="H65" s="45"/>
      <c r="I65" s="45"/>
      <c r="J65" s="49"/>
      <c r="K65" s="45"/>
      <c r="L65" s="45"/>
      <c r="M65" s="49"/>
      <c r="N65" s="45"/>
      <c r="O65" s="45"/>
    </row>
    <row r="66" spans="1:15">
      <c r="A66" s="50"/>
      <c r="B66" s="50"/>
      <c r="C66" s="51"/>
      <c r="D66" s="52"/>
      <c r="E66" s="46">
        <f t="shared" si="9"/>
        <v>0</v>
      </c>
      <c r="F66" s="50"/>
      <c r="G66" s="53"/>
      <c r="H66" s="50"/>
      <c r="I66" s="50"/>
      <c r="J66" s="54"/>
      <c r="K66" s="50"/>
      <c r="L66" s="50"/>
      <c r="M66" s="54"/>
      <c r="N66" s="50"/>
      <c r="O66" s="50"/>
    </row>
    <row r="67" spans="1:15">
      <c r="A67" s="45"/>
      <c r="B67" s="45"/>
      <c r="C67" s="46"/>
      <c r="D67" s="47"/>
      <c r="E67" s="46">
        <f t="shared" si="9"/>
        <v>0</v>
      </c>
      <c r="F67" s="45"/>
      <c r="G67" s="48"/>
      <c r="H67" s="45"/>
      <c r="I67" s="45"/>
      <c r="J67" s="49"/>
      <c r="K67" s="45"/>
      <c r="L67" s="45"/>
      <c r="M67" s="49"/>
      <c r="N67" s="45"/>
      <c r="O67" s="45"/>
    </row>
    <row r="68" spans="1:15">
      <c r="A68" s="50"/>
      <c r="B68" s="50"/>
      <c r="C68" s="51"/>
      <c r="D68" s="52"/>
      <c r="E68" s="46">
        <f t="shared" si="9"/>
        <v>0</v>
      </c>
      <c r="F68" s="50"/>
      <c r="G68" s="53"/>
      <c r="H68" s="50"/>
      <c r="I68" s="50"/>
      <c r="J68" s="54"/>
      <c r="K68" s="50"/>
      <c r="L68" s="50"/>
      <c r="M68" s="54"/>
      <c r="N68" s="50"/>
      <c r="O68" s="50"/>
    </row>
    <row r="69" spans="1:15">
      <c r="A69" s="45"/>
      <c r="B69" s="45"/>
      <c r="C69" s="46"/>
      <c r="D69" s="47"/>
      <c r="E69" s="46">
        <f t="shared" si="9"/>
        <v>0</v>
      </c>
      <c r="F69" s="45"/>
      <c r="G69" s="48"/>
      <c r="H69" s="45"/>
      <c r="I69" s="45"/>
      <c r="J69" s="49"/>
      <c r="K69" s="45"/>
      <c r="L69" s="45"/>
      <c r="M69" s="49"/>
      <c r="N69" s="45"/>
      <c r="O69" s="45"/>
    </row>
    <row r="70" spans="1:15">
      <c r="A70" s="50"/>
      <c r="B70" s="50"/>
      <c r="C70" s="51"/>
      <c r="D70" s="52"/>
      <c r="E70" s="46">
        <f t="shared" si="9"/>
        <v>0</v>
      </c>
      <c r="F70" s="50"/>
      <c r="G70" s="53"/>
      <c r="H70" s="50"/>
      <c r="I70" s="50"/>
      <c r="J70" s="54"/>
      <c r="K70" s="50"/>
      <c r="L70" s="50"/>
      <c r="M70" s="54"/>
      <c r="N70" s="50"/>
      <c r="O70" s="50"/>
    </row>
    <row r="71" spans="1:15">
      <c r="A71" s="45"/>
      <c r="B71" s="45"/>
      <c r="C71" s="46"/>
      <c r="D71" s="47"/>
      <c r="E71" s="46">
        <f t="shared" si="9"/>
        <v>0</v>
      </c>
      <c r="F71" s="45"/>
      <c r="G71" s="48"/>
      <c r="H71" s="45"/>
      <c r="I71" s="45"/>
      <c r="J71" s="49"/>
      <c r="K71" s="45"/>
      <c r="L71" s="45"/>
      <c r="M71" s="49"/>
      <c r="N71" s="45"/>
      <c r="O71" s="45"/>
    </row>
    <row r="72" spans="1:15">
      <c r="A72" s="50"/>
      <c r="B72" s="50"/>
      <c r="C72" s="51"/>
      <c r="D72" s="52"/>
      <c r="E72" s="46">
        <f t="shared" si="9"/>
        <v>0</v>
      </c>
      <c r="F72" s="50"/>
      <c r="G72" s="53"/>
      <c r="H72" s="50"/>
      <c r="I72" s="50"/>
      <c r="J72" s="54"/>
      <c r="K72" s="50"/>
      <c r="L72" s="50"/>
      <c r="M72" s="54"/>
      <c r="N72" s="50"/>
      <c r="O72" s="50"/>
    </row>
    <row r="73" spans="1:15">
      <c r="A73" s="45"/>
      <c r="B73" s="45"/>
      <c r="C73" s="46"/>
      <c r="D73" s="47"/>
      <c r="E73" s="46">
        <f t="shared" si="9"/>
        <v>0</v>
      </c>
      <c r="F73" s="45"/>
      <c r="G73" s="48"/>
      <c r="H73" s="45"/>
      <c r="I73" s="45"/>
      <c r="J73" s="49"/>
      <c r="K73" s="45"/>
      <c r="L73" s="45"/>
      <c r="M73" s="49"/>
      <c r="N73" s="45"/>
      <c r="O73" s="45"/>
    </row>
    <row r="74" spans="1:15">
      <c r="A74" s="50"/>
      <c r="B74" s="50"/>
      <c r="C74" s="51"/>
      <c r="D74" s="52"/>
      <c r="E74" s="46">
        <f t="shared" si="9"/>
        <v>0</v>
      </c>
      <c r="F74" s="50"/>
      <c r="G74" s="53"/>
      <c r="H74" s="50"/>
      <c r="I74" s="50"/>
      <c r="J74" s="54"/>
      <c r="K74" s="50"/>
      <c r="L74" s="50"/>
      <c r="M74" s="54"/>
      <c r="N74" s="50"/>
      <c r="O74" s="50"/>
    </row>
    <row r="75" spans="1:15">
      <c r="A75" s="45"/>
      <c r="B75" s="45"/>
      <c r="C75" s="46"/>
      <c r="D75" s="47"/>
      <c r="E75" s="46">
        <f t="shared" si="9"/>
        <v>0</v>
      </c>
      <c r="F75" s="45"/>
      <c r="G75" s="48"/>
      <c r="H75" s="45"/>
      <c r="I75" s="45"/>
      <c r="J75" s="49"/>
      <c r="K75" s="45"/>
      <c r="L75" s="45"/>
      <c r="M75" s="49"/>
      <c r="N75" s="45"/>
      <c r="O75" s="45"/>
    </row>
    <row r="76" spans="1:15">
      <c r="A76" s="50"/>
      <c r="B76" s="50"/>
      <c r="C76" s="51"/>
      <c r="D76" s="52"/>
      <c r="E76" s="46">
        <f t="shared" si="9"/>
        <v>0</v>
      </c>
      <c r="F76" s="50"/>
      <c r="G76" s="53"/>
      <c r="H76" s="50"/>
      <c r="I76" s="50"/>
      <c r="J76" s="54"/>
      <c r="K76" s="50"/>
      <c r="L76" s="50"/>
      <c r="M76" s="54"/>
      <c r="N76" s="50"/>
      <c r="O76" s="50"/>
    </row>
    <row r="77" spans="1:15">
      <c r="A77" s="45"/>
      <c r="B77" s="45"/>
      <c r="C77" s="46"/>
      <c r="D77" s="47"/>
      <c r="E77" s="46">
        <f t="shared" si="9"/>
        <v>0</v>
      </c>
      <c r="F77" s="45"/>
      <c r="G77" s="48"/>
      <c r="H77" s="45"/>
      <c r="I77" s="45"/>
      <c r="J77" s="49"/>
      <c r="K77" s="45"/>
      <c r="L77" s="45"/>
      <c r="M77" s="49"/>
      <c r="N77" s="45"/>
      <c r="O77" s="45"/>
    </row>
    <row r="78" spans="1:15">
      <c r="A78" s="50"/>
      <c r="B78" s="50"/>
      <c r="C78" s="51"/>
      <c r="D78" s="52"/>
      <c r="E78" s="46">
        <f t="shared" si="9"/>
        <v>0</v>
      </c>
      <c r="F78" s="50"/>
      <c r="G78" s="53"/>
      <c r="H78" s="50"/>
      <c r="I78" s="50"/>
      <c r="J78" s="54"/>
      <c r="K78" s="50"/>
      <c r="L78" s="50"/>
      <c r="M78" s="54"/>
      <c r="N78" s="50"/>
      <c r="O78" s="50"/>
    </row>
    <row r="79" spans="1:15">
      <c r="A79" s="45"/>
      <c r="B79" s="45"/>
      <c r="C79" s="46"/>
      <c r="D79" s="47"/>
      <c r="E79" s="46">
        <f t="shared" si="9"/>
        <v>0</v>
      </c>
      <c r="F79" s="45"/>
      <c r="G79" s="48"/>
      <c r="H79" s="45"/>
      <c r="I79" s="45"/>
      <c r="J79" s="49"/>
      <c r="K79" s="45"/>
      <c r="L79" s="45"/>
      <c r="M79" s="49"/>
      <c r="N79" s="45"/>
      <c r="O79" s="45"/>
    </row>
    <row r="80" spans="1:15">
      <c r="A80" s="50"/>
      <c r="B80" s="50"/>
      <c r="C80" s="51"/>
      <c r="D80" s="52"/>
      <c r="E80" s="46">
        <f t="shared" si="9"/>
        <v>0</v>
      </c>
      <c r="F80" s="50"/>
      <c r="G80" s="53"/>
      <c r="H80" s="50"/>
      <c r="I80" s="50"/>
      <c r="J80" s="54"/>
      <c r="K80" s="50"/>
      <c r="L80" s="50"/>
      <c r="M80" s="54"/>
      <c r="N80" s="50"/>
      <c r="O80" s="50"/>
    </row>
    <row r="81" spans="1:15">
      <c r="A81" s="45"/>
      <c r="B81" s="45"/>
      <c r="C81" s="46"/>
      <c r="D81" s="47"/>
      <c r="E81" s="46">
        <f t="shared" si="9"/>
        <v>0</v>
      </c>
      <c r="F81" s="45"/>
      <c r="G81" s="48"/>
      <c r="H81" s="45"/>
      <c r="I81" s="45"/>
      <c r="J81" s="49"/>
      <c r="K81" s="45"/>
      <c r="L81" s="45"/>
      <c r="M81" s="49"/>
      <c r="N81" s="45"/>
      <c r="O81" s="45"/>
    </row>
    <row r="82" spans="1:15">
      <c r="A82" s="50"/>
      <c r="B82" s="50"/>
      <c r="C82" s="51"/>
      <c r="D82" s="52"/>
      <c r="E82" s="46">
        <f t="shared" si="9"/>
        <v>0</v>
      </c>
      <c r="F82" s="50"/>
      <c r="G82" s="53"/>
      <c r="H82" s="50"/>
      <c r="I82" s="50"/>
      <c r="J82" s="54"/>
      <c r="K82" s="50"/>
      <c r="L82" s="50"/>
      <c r="M82" s="54"/>
      <c r="N82" s="50"/>
      <c r="O82" s="50"/>
    </row>
    <row r="83" spans="1:15">
      <c r="A83" s="45"/>
      <c r="B83" s="45"/>
      <c r="C83" s="46"/>
      <c r="D83" s="47"/>
      <c r="E83" s="46">
        <f t="shared" si="9"/>
        <v>0</v>
      </c>
      <c r="F83" s="45"/>
      <c r="G83" s="48"/>
      <c r="H83" s="45"/>
      <c r="I83" s="45"/>
      <c r="J83" s="49"/>
      <c r="K83" s="45"/>
      <c r="L83" s="45"/>
      <c r="M83" s="49"/>
      <c r="N83" s="45"/>
      <c r="O83" s="45"/>
    </row>
    <row r="84" spans="1:15">
      <c r="A84" s="50"/>
      <c r="B84" s="50"/>
      <c r="C84" s="51"/>
      <c r="D84" s="52"/>
      <c r="E84" s="46">
        <f t="shared" si="9"/>
        <v>0</v>
      </c>
      <c r="F84" s="50"/>
      <c r="G84" s="53"/>
      <c r="H84" s="50"/>
      <c r="I84" s="50"/>
      <c r="J84" s="54"/>
      <c r="K84" s="50"/>
      <c r="L84" s="50"/>
      <c r="M84" s="54"/>
      <c r="N84" s="50"/>
      <c r="O84" s="50"/>
    </row>
    <row r="85" spans="1:15">
      <c r="A85" s="45"/>
      <c r="B85" s="45"/>
      <c r="C85" s="46"/>
      <c r="D85" s="47"/>
      <c r="E85" s="46">
        <f t="shared" si="9"/>
        <v>0</v>
      </c>
      <c r="F85" s="45"/>
      <c r="G85" s="48"/>
      <c r="H85" s="45"/>
      <c r="I85" s="45"/>
      <c r="J85" s="49"/>
      <c r="K85" s="45"/>
      <c r="L85" s="45"/>
      <c r="M85" s="49"/>
      <c r="N85" s="45"/>
      <c r="O85" s="45"/>
    </row>
    <row r="86" spans="1:15">
      <c r="A86" s="50"/>
      <c r="B86" s="50"/>
      <c r="C86" s="51"/>
      <c r="D86" s="52"/>
      <c r="E86" s="46">
        <f t="shared" si="9"/>
        <v>0</v>
      </c>
      <c r="F86" s="50"/>
      <c r="G86" s="53"/>
      <c r="H86" s="50"/>
      <c r="I86" s="50"/>
      <c r="J86" s="54"/>
      <c r="K86" s="50"/>
      <c r="L86" s="50"/>
      <c r="M86" s="54"/>
      <c r="N86" s="50"/>
      <c r="O86" s="50"/>
    </row>
    <row r="87" spans="1:15">
      <c r="A87" s="45"/>
      <c r="B87" s="45"/>
      <c r="C87" s="46"/>
      <c r="D87" s="47"/>
      <c r="E87" s="46">
        <f t="shared" si="9"/>
        <v>0</v>
      </c>
      <c r="F87" s="45"/>
      <c r="G87" s="48"/>
      <c r="H87" s="45"/>
      <c r="I87" s="45"/>
      <c r="J87" s="49"/>
      <c r="K87" s="45"/>
      <c r="L87" s="45"/>
      <c r="M87" s="49"/>
      <c r="N87" s="45"/>
      <c r="O87" s="45"/>
    </row>
    <row r="88" spans="1:15">
      <c r="A88" s="50"/>
      <c r="B88" s="50"/>
      <c r="C88" s="51"/>
      <c r="D88" s="52"/>
      <c r="E88" s="46">
        <f t="shared" si="9"/>
        <v>0</v>
      </c>
      <c r="F88" s="50"/>
      <c r="G88" s="53"/>
      <c r="H88" s="50"/>
      <c r="I88" s="50"/>
      <c r="J88" s="54"/>
      <c r="K88" s="50"/>
      <c r="L88" s="50"/>
      <c r="M88" s="54"/>
      <c r="N88" s="50"/>
      <c r="O88" s="50"/>
    </row>
    <row r="89" spans="1:15">
      <c r="A89" s="45"/>
      <c r="B89" s="45"/>
      <c r="C89" s="46"/>
      <c r="D89" s="47"/>
      <c r="E89" s="46">
        <f t="shared" si="9"/>
        <v>0</v>
      </c>
      <c r="F89" s="45"/>
      <c r="G89" s="48"/>
      <c r="H89" s="45"/>
      <c r="I89" s="45"/>
      <c r="J89" s="49"/>
      <c r="K89" s="45"/>
      <c r="L89" s="45"/>
      <c r="M89" s="49"/>
      <c r="N89" s="45"/>
      <c r="O89" s="45"/>
    </row>
    <row r="90" spans="1:15">
      <c r="A90" s="50"/>
      <c r="B90" s="50"/>
      <c r="C90" s="51"/>
      <c r="D90" s="52"/>
      <c r="E90" s="46">
        <f t="shared" si="9"/>
        <v>0</v>
      </c>
      <c r="F90" s="50"/>
      <c r="G90" s="53"/>
      <c r="H90" s="50"/>
      <c r="I90" s="50"/>
      <c r="J90" s="54"/>
      <c r="K90" s="50"/>
      <c r="L90" s="50"/>
      <c r="M90" s="54"/>
      <c r="N90" s="50"/>
      <c r="O90" s="50"/>
    </row>
    <row r="91" spans="1:15">
      <c r="A91" s="45"/>
      <c r="B91" s="45"/>
      <c r="C91" s="46"/>
      <c r="D91" s="47"/>
      <c r="E91" s="46">
        <f t="shared" si="9"/>
        <v>0</v>
      </c>
      <c r="F91" s="45"/>
      <c r="G91" s="48"/>
      <c r="H91" s="45"/>
      <c r="I91" s="45"/>
      <c r="J91" s="49"/>
      <c r="K91" s="45"/>
      <c r="L91" s="45"/>
      <c r="M91" s="49"/>
      <c r="N91" s="45"/>
      <c r="O91" s="45"/>
    </row>
    <row r="92" spans="1:15">
      <c r="A92" s="50"/>
      <c r="B92" s="50"/>
      <c r="C92" s="51"/>
      <c r="D92" s="52"/>
      <c r="E92" s="46">
        <f t="shared" si="9"/>
        <v>0</v>
      </c>
      <c r="F92" s="50"/>
      <c r="G92" s="53"/>
      <c r="H92" s="50"/>
      <c r="I92" s="50"/>
      <c r="J92" s="54"/>
      <c r="K92" s="50"/>
      <c r="L92" s="50"/>
      <c r="M92" s="54"/>
      <c r="N92" s="50"/>
      <c r="O92" s="50"/>
    </row>
    <row r="93" spans="1:15">
      <c r="A93" s="45"/>
      <c r="B93" s="45"/>
      <c r="C93" s="46"/>
      <c r="D93" s="47"/>
      <c r="E93" s="46">
        <f t="shared" si="9"/>
        <v>0</v>
      </c>
      <c r="F93" s="45"/>
      <c r="G93" s="48"/>
      <c r="H93" s="45"/>
      <c r="I93" s="45"/>
      <c r="J93" s="49"/>
      <c r="K93" s="45"/>
      <c r="L93" s="45"/>
      <c r="M93" s="49"/>
      <c r="N93" s="45"/>
      <c r="O93" s="45"/>
    </row>
    <row r="94" spans="1:15">
      <c r="A94" s="50"/>
      <c r="B94" s="50"/>
      <c r="C94" s="51"/>
      <c r="D94" s="52"/>
      <c r="E94" s="46">
        <f t="shared" si="9"/>
        <v>0</v>
      </c>
      <c r="F94" s="50"/>
      <c r="G94" s="53"/>
      <c r="H94" s="50"/>
      <c r="I94" s="50"/>
      <c r="J94" s="54"/>
      <c r="K94" s="50"/>
      <c r="L94" s="50"/>
      <c r="M94" s="54"/>
      <c r="N94" s="50"/>
      <c r="O94" s="50"/>
    </row>
    <row r="95" spans="1:15">
      <c r="A95" s="45"/>
      <c r="B95" s="45"/>
      <c r="C95" s="46"/>
      <c r="D95" s="47"/>
      <c r="E95" s="46">
        <f t="shared" si="9"/>
        <v>0</v>
      </c>
      <c r="F95" s="45"/>
      <c r="G95" s="48"/>
      <c r="H95" s="45"/>
      <c r="I95" s="45"/>
      <c r="J95" s="49"/>
      <c r="K95" s="45"/>
      <c r="L95" s="45"/>
      <c r="M95" s="49"/>
      <c r="N95" s="45"/>
      <c r="O95" s="45"/>
    </row>
    <row r="96" spans="1:15">
      <c r="A96" s="50"/>
      <c r="B96" s="50"/>
      <c r="C96" s="51"/>
      <c r="D96" s="52"/>
      <c r="E96" s="46">
        <f t="shared" si="9"/>
        <v>0</v>
      </c>
      <c r="F96" s="50"/>
      <c r="G96" s="53"/>
      <c r="H96" s="50"/>
      <c r="I96" s="50"/>
      <c r="J96" s="54"/>
      <c r="K96" s="50"/>
      <c r="L96" s="50"/>
      <c r="M96" s="54"/>
      <c r="N96" s="50"/>
      <c r="O96" s="50"/>
    </row>
    <row r="97" spans="1:15">
      <c r="A97" s="45"/>
      <c r="B97" s="45"/>
      <c r="C97" s="46"/>
      <c r="D97" s="47"/>
      <c r="E97" s="46">
        <f t="shared" si="9"/>
        <v>0</v>
      </c>
      <c r="F97" s="45"/>
      <c r="G97" s="48"/>
      <c r="H97" s="45"/>
      <c r="I97" s="45"/>
      <c r="J97" s="49"/>
      <c r="K97" s="45"/>
      <c r="L97" s="45"/>
      <c r="M97" s="49"/>
      <c r="N97" s="45"/>
      <c r="O97" s="45"/>
    </row>
    <row r="98" spans="1:15">
      <c r="A98" s="50"/>
      <c r="B98" s="50"/>
      <c r="C98" s="51"/>
      <c r="D98" s="52"/>
      <c r="E98" s="46">
        <f t="shared" si="9"/>
        <v>0</v>
      </c>
      <c r="F98" s="50"/>
      <c r="G98" s="53"/>
      <c r="H98" s="50"/>
      <c r="I98" s="50"/>
      <c r="J98" s="54"/>
      <c r="K98" s="50"/>
      <c r="L98" s="50"/>
      <c r="M98" s="54"/>
      <c r="N98" s="50"/>
      <c r="O98" s="50"/>
    </row>
    <row r="99" spans="1:15">
      <c r="A99" s="45"/>
      <c r="B99" s="45"/>
      <c r="C99" s="46"/>
      <c r="D99" s="47"/>
      <c r="E99" s="46">
        <f t="shared" si="9"/>
        <v>0</v>
      </c>
      <c r="F99" s="45"/>
      <c r="G99" s="48"/>
      <c r="H99" s="45"/>
      <c r="I99" s="45"/>
      <c r="J99" s="49"/>
      <c r="K99" s="45"/>
      <c r="L99" s="45"/>
      <c r="M99" s="49"/>
      <c r="N99" s="45"/>
      <c r="O99" s="45"/>
    </row>
    <row r="100" spans="1:15">
      <c r="A100" s="50"/>
      <c r="B100" s="50"/>
      <c r="C100" s="51"/>
      <c r="D100" s="52"/>
      <c r="E100" s="46">
        <f t="shared" si="9"/>
        <v>0</v>
      </c>
      <c r="F100" s="50"/>
      <c r="G100" s="53"/>
      <c r="H100" s="50"/>
      <c r="I100" s="50"/>
      <c r="J100" s="54"/>
      <c r="K100" s="50"/>
      <c r="L100" s="50"/>
      <c r="M100" s="54"/>
      <c r="N100" s="50"/>
      <c r="O100" s="50"/>
    </row>
    <row r="101" spans="1:15">
      <c r="A101" s="45"/>
      <c r="B101" s="45"/>
      <c r="C101" s="46"/>
      <c r="D101" s="47"/>
      <c r="E101" s="46">
        <f t="shared" si="9"/>
        <v>0</v>
      </c>
      <c r="F101" s="45"/>
      <c r="G101" s="48"/>
      <c r="H101" s="45"/>
      <c r="I101" s="45"/>
      <c r="J101" s="49"/>
      <c r="K101" s="45"/>
      <c r="L101" s="45"/>
      <c r="M101" s="49"/>
      <c r="N101" s="45"/>
      <c r="O101" s="45"/>
    </row>
    <row r="102" spans="1:15">
      <c r="A102" s="50"/>
      <c r="B102" s="50"/>
      <c r="C102" s="51"/>
      <c r="D102" s="52"/>
      <c r="E102" s="46">
        <f t="shared" si="9"/>
        <v>0</v>
      </c>
      <c r="F102" s="50"/>
      <c r="G102" s="53"/>
      <c r="H102" s="50"/>
      <c r="I102" s="50"/>
      <c r="J102" s="54"/>
      <c r="K102" s="50"/>
      <c r="L102" s="50"/>
      <c r="M102" s="54"/>
      <c r="N102" s="50"/>
      <c r="O102" s="50"/>
    </row>
    <row r="103" spans="1:15">
      <c r="A103" s="45"/>
      <c r="B103" s="45"/>
      <c r="C103" s="46"/>
      <c r="D103" s="47"/>
      <c r="E103" s="46">
        <f t="shared" si="9"/>
        <v>0</v>
      </c>
      <c r="F103" s="45"/>
      <c r="G103" s="48"/>
      <c r="H103" s="45"/>
      <c r="I103" s="45"/>
      <c r="J103" s="49"/>
      <c r="K103" s="45"/>
      <c r="L103" s="45"/>
      <c r="M103" s="49"/>
      <c r="N103" s="45"/>
      <c r="O103" s="45"/>
    </row>
    <row r="104" spans="1:15">
      <c r="A104" s="50"/>
      <c r="B104" s="50"/>
      <c r="C104" s="51"/>
      <c r="D104" s="52"/>
      <c r="E104" s="46">
        <f t="shared" si="9"/>
        <v>0</v>
      </c>
      <c r="F104" s="50"/>
      <c r="G104" s="53"/>
      <c r="H104" s="50"/>
      <c r="I104" s="50"/>
      <c r="J104" s="54"/>
      <c r="K104" s="50"/>
      <c r="L104" s="50"/>
      <c r="M104" s="54"/>
      <c r="N104" s="50"/>
      <c r="O104" s="50"/>
    </row>
    <row r="105" spans="1:15">
      <c r="A105" s="45"/>
      <c r="B105" s="45"/>
      <c r="C105" s="46"/>
      <c r="D105" s="47"/>
      <c r="E105" s="46">
        <f t="shared" si="9"/>
        <v>0</v>
      </c>
      <c r="F105" s="45"/>
      <c r="G105" s="48"/>
      <c r="H105" s="45"/>
      <c r="I105" s="45"/>
      <c r="J105" s="49"/>
      <c r="K105" s="45"/>
      <c r="L105" s="45"/>
      <c r="M105" s="49"/>
      <c r="N105" s="45"/>
      <c r="O105" s="45"/>
    </row>
    <row r="106" spans="1:15">
      <c r="A106" s="50"/>
      <c r="B106" s="50"/>
      <c r="C106" s="51"/>
      <c r="D106" s="52"/>
      <c r="E106" s="46">
        <f t="shared" si="9"/>
        <v>0</v>
      </c>
      <c r="F106" s="50"/>
      <c r="G106" s="53"/>
      <c r="H106" s="50"/>
      <c r="I106" s="50"/>
      <c r="J106" s="54"/>
      <c r="K106" s="50"/>
      <c r="L106" s="50"/>
      <c r="M106" s="54"/>
      <c r="N106" s="50"/>
      <c r="O106" s="50"/>
    </row>
    <row r="107" spans="1:15">
      <c r="A107" s="45"/>
      <c r="B107" s="45"/>
      <c r="C107" s="46"/>
      <c r="D107" s="47"/>
      <c r="E107" s="46">
        <f t="shared" si="9"/>
        <v>0</v>
      </c>
      <c r="F107" s="45"/>
      <c r="G107" s="48"/>
      <c r="H107" s="45"/>
      <c r="I107" s="45"/>
      <c r="J107" s="49"/>
      <c r="K107" s="45"/>
      <c r="L107" s="45"/>
      <c r="M107" s="49"/>
      <c r="N107" s="45"/>
      <c r="O107" s="45"/>
    </row>
    <row r="108" spans="1:15">
      <c r="A108" s="50"/>
      <c r="B108" s="50"/>
      <c r="C108" s="51"/>
      <c r="D108" s="52"/>
      <c r="E108" s="46">
        <f t="shared" si="9"/>
        <v>0</v>
      </c>
      <c r="F108" s="50"/>
      <c r="G108" s="53"/>
      <c r="H108" s="50"/>
      <c r="I108" s="50"/>
      <c r="J108" s="54"/>
      <c r="K108" s="50"/>
      <c r="L108" s="50"/>
      <c r="M108" s="54"/>
      <c r="N108" s="50"/>
      <c r="O108" s="50"/>
    </row>
    <row r="109" spans="1:15">
      <c r="A109" s="45"/>
      <c r="B109" s="45"/>
      <c r="C109" s="46"/>
      <c r="D109" s="47"/>
      <c r="E109" s="46">
        <f t="shared" si="9"/>
        <v>0</v>
      </c>
      <c r="F109" s="45"/>
      <c r="G109" s="48"/>
      <c r="H109" s="45"/>
      <c r="I109" s="45"/>
      <c r="J109" s="49"/>
      <c r="K109" s="45"/>
      <c r="L109" s="45"/>
      <c r="M109" s="49"/>
      <c r="N109" s="45"/>
      <c r="O109" s="45"/>
    </row>
    <row r="110" spans="1:15">
      <c r="A110" s="50"/>
      <c r="B110" s="50"/>
      <c r="C110" s="51"/>
      <c r="D110" s="52"/>
      <c r="E110" s="46">
        <f t="shared" si="9"/>
        <v>0</v>
      </c>
      <c r="F110" s="50"/>
      <c r="G110" s="53"/>
      <c r="H110" s="50"/>
      <c r="I110" s="50"/>
      <c r="J110" s="54"/>
      <c r="K110" s="50"/>
      <c r="L110" s="50"/>
      <c r="M110" s="54"/>
      <c r="N110" s="50"/>
      <c r="O110" s="50"/>
    </row>
    <row r="111" spans="1:15">
      <c r="A111" s="45"/>
      <c r="B111" s="45"/>
      <c r="C111" s="46"/>
      <c r="D111" s="47"/>
      <c r="E111" s="46">
        <f t="shared" si="9"/>
        <v>0</v>
      </c>
      <c r="F111" s="45"/>
      <c r="G111" s="48"/>
      <c r="H111" s="45"/>
      <c r="I111" s="45"/>
      <c r="J111" s="49"/>
      <c r="K111" s="45"/>
      <c r="L111" s="45"/>
      <c r="M111" s="49"/>
      <c r="N111" s="45"/>
      <c r="O111" s="45"/>
    </row>
    <row r="112" spans="1:15">
      <c r="A112" s="50"/>
      <c r="B112" s="50"/>
      <c r="C112" s="51"/>
      <c r="D112" s="52"/>
      <c r="E112" s="46">
        <f t="shared" si="9"/>
        <v>0</v>
      </c>
      <c r="F112" s="50"/>
      <c r="G112" s="53"/>
      <c r="H112" s="50"/>
      <c r="I112" s="50"/>
      <c r="J112" s="54"/>
      <c r="K112" s="50"/>
      <c r="L112" s="50"/>
      <c r="M112" s="54"/>
      <c r="N112" s="50"/>
      <c r="O112" s="50"/>
    </row>
    <row r="113" spans="1:15">
      <c r="A113" s="45"/>
      <c r="B113" s="45"/>
      <c r="C113" s="46"/>
      <c r="D113" s="47"/>
      <c r="E113" s="46">
        <f t="shared" si="9"/>
        <v>0</v>
      </c>
      <c r="F113" s="45"/>
      <c r="G113" s="48"/>
      <c r="H113" s="45"/>
      <c r="I113" s="45"/>
      <c r="J113" s="49"/>
      <c r="K113" s="45"/>
      <c r="L113" s="45"/>
      <c r="M113" s="49"/>
      <c r="N113" s="45"/>
      <c r="O113" s="45"/>
    </row>
    <row r="114" spans="1:15">
      <c r="A114" s="50"/>
      <c r="B114" s="50"/>
      <c r="C114" s="51"/>
      <c r="D114" s="52"/>
      <c r="E114" s="46">
        <f t="shared" si="9"/>
        <v>0</v>
      </c>
      <c r="F114" s="50"/>
      <c r="G114" s="53"/>
      <c r="H114" s="50"/>
      <c r="I114" s="50"/>
      <c r="J114" s="54"/>
      <c r="K114" s="50"/>
      <c r="L114" s="50"/>
      <c r="M114" s="54"/>
      <c r="N114" s="50"/>
      <c r="O114" s="50"/>
    </row>
    <row r="115" spans="1:15">
      <c r="A115" s="45"/>
      <c r="B115" s="45"/>
      <c r="C115" s="46"/>
      <c r="D115" s="47"/>
      <c r="E115" s="46">
        <f t="shared" si="9"/>
        <v>0</v>
      </c>
      <c r="F115" s="45"/>
      <c r="G115" s="48"/>
      <c r="H115" s="45"/>
      <c r="I115" s="45"/>
      <c r="J115" s="49"/>
      <c r="K115" s="45"/>
      <c r="L115" s="45"/>
      <c r="M115" s="49"/>
      <c r="N115" s="45"/>
      <c r="O115" s="45"/>
    </row>
    <row r="116" spans="1:15">
      <c r="A116" s="50"/>
      <c r="B116" s="50"/>
      <c r="C116" s="51"/>
      <c r="D116" s="52"/>
      <c r="E116" s="46">
        <f t="shared" si="9"/>
        <v>0</v>
      </c>
      <c r="F116" s="50"/>
      <c r="G116" s="53"/>
      <c r="H116" s="50"/>
      <c r="I116" s="50"/>
      <c r="J116" s="54"/>
      <c r="K116" s="50"/>
      <c r="L116" s="50"/>
      <c r="M116" s="54"/>
      <c r="N116" s="50"/>
      <c r="O116" s="50"/>
    </row>
    <row r="117" spans="1:15">
      <c r="A117" s="45"/>
      <c r="B117" s="45"/>
      <c r="C117" s="46"/>
      <c r="D117" s="47"/>
      <c r="E117" s="46">
        <f t="shared" si="9"/>
        <v>0</v>
      </c>
      <c r="F117" s="45"/>
      <c r="G117" s="48"/>
      <c r="H117" s="45"/>
      <c r="I117" s="45"/>
      <c r="J117" s="49"/>
      <c r="K117" s="45"/>
      <c r="L117" s="45"/>
      <c r="M117" s="49"/>
      <c r="N117" s="45"/>
      <c r="O117" s="45"/>
    </row>
    <row r="118" spans="1:15">
      <c r="A118" s="50"/>
      <c r="B118" s="50"/>
      <c r="C118" s="51"/>
      <c r="D118" s="52"/>
      <c r="E118" s="46">
        <f t="shared" si="9"/>
        <v>0</v>
      </c>
      <c r="F118" s="50"/>
      <c r="G118" s="53"/>
      <c r="H118" s="50"/>
      <c r="I118" s="50"/>
      <c r="J118" s="54"/>
      <c r="K118" s="50"/>
      <c r="L118" s="50"/>
      <c r="M118" s="54"/>
      <c r="N118" s="50"/>
      <c r="O118" s="50"/>
    </row>
    <row r="119" spans="1:15">
      <c r="A119" s="45"/>
      <c r="B119" s="45"/>
      <c r="C119" s="46"/>
      <c r="D119" s="47"/>
      <c r="E119" s="46">
        <f t="shared" si="9"/>
        <v>0</v>
      </c>
      <c r="F119" s="45"/>
      <c r="G119" s="48"/>
      <c r="H119" s="45"/>
      <c r="I119" s="45"/>
      <c r="J119" s="49"/>
      <c r="K119" s="45"/>
      <c r="L119" s="45"/>
      <c r="M119" s="49"/>
      <c r="N119" s="45"/>
      <c r="O119" s="45"/>
    </row>
    <row r="120" spans="1:15">
      <c r="A120" s="50"/>
      <c r="B120" s="50"/>
      <c r="C120" s="51"/>
      <c r="D120" s="52"/>
      <c r="E120" s="46">
        <f t="shared" si="9"/>
        <v>0</v>
      </c>
      <c r="F120" s="50"/>
      <c r="G120" s="53"/>
      <c r="H120" s="50"/>
      <c r="I120" s="50"/>
      <c r="J120" s="54"/>
      <c r="K120" s="50"/>
      <c r="L120" s="50"/>
      <c r="M120" s="54"/>
      <c r="N120" s="50"/>
      <c r="O120" s="50"/>
    </row>
    <row r="121" spans="1:15">
      <c r="A121" s="45"/>
      <c r="B121" s="45"/>
      <c r="C121" s="46"/>
      <c r="D121" s="47"/>
      <c r="E121" s="46">
        <f t="shared" si="9"/>
        <v>0</v>
      </c>
      <c r="F121" s="45"/>
      <c r="G121" s="48"/>
      <c r="H121" s="45"/>
      <c r="I121" s="45"/>
      <c r="J121" s="49"/>
      <c r="K121" s="45"/>
      <c r="L121" s="45"/>
      <c r="M121" s="49"/>
      <c r="N121" s="45"/>
      <c r="O121" s="45"/>
    </row>
    <row r="122" spans="1:15">
      <c r="A122" s="50"/>
      <c r="B122" s="50"/>
      <c r="C122" s="51"/>
      <c r="D122" s="52"/>
      <c r="E122" s="46">
        <f t="shared" si="9"/>
        <v>0</v>
      </c>
      <c r="F122" s="50"/>
      <c r="G122" s="53"/>
      <c r="H122" s="50"/>
      <c r="I122" s="50"/>
      <c r="J122" s="54"/>
      <c r="K122" s="50"/>
      <c r="L122" s="50"/>
      <c r="M122" s="54"/>
      <c r="N122" s="50"/>
      <c r="O122" s="50"/>
    </row>
    <row r="123" spans="1:15">
      <c r="A123" s="45"/>
      <c r="B123" s="45"/>
      <c r="C123" s="46"/>
      <c r="D123" s="47"/>
      <c r="E123" s="46">
        <f t="shared" si="9"/>
        <v>0</v>
      </c>
      <c r="F123" s="45"/>
      <c r="G123" s="48"/>
      <c r="H123" s="45"/>
      <c r="I123" s="45"/>
      <c r="J123" s="49"/>
      <c r="K123" s="45"/>
      <c r="L123" s="45"/>
      <c r="M123" s="49"/>
      <c r="N123" s="45"/>
      <c r="O123" s="45"/>
    </row>
    <row r="124" spans="1:15">
      <c r="A124" s="50"/>
      <c r="B124" s="50"/>
      <c r="C124" s="51"/>
      <c r="D124" s="52"/>
      <c r="E124" s="46">
        <f t="shared" si="9"/>
        <v>0</v>
      </c>
      <c r="F124" s="50"/>
      <c r="G124" s="53"/>
      <c r="H124" s="50"/>
      <c r="I124" s="50"/>
      <c r="J124" s="54"/>
      <c r="K124" s="50"/>
      <c r="L124" s="50"/>
      <c r="M124" s="54"/>
      <c r="N124" s="50"/>
      <c r="O124" s="50"/>
    </row>
    <row r="125" spans="1:15">
      <c r="A125" s="45"/>
      <c r="B125" s="45"/>
      <c r="C125" s="46"/>
      <c r="D125" s="47"/>
      <c r="E125" s="46">
        <f t="shared" si="9"/>
        <v>0</v>
      </c>
      <c r="F125" s="45"/>
      <c r="G125" s="48"/>
      <c r="H125" s="45"/>
      <c r="I125" s="45"/>
      <c r="J125" s="49"/>
      <c r="K125" s="45"/>
      <c r="L125" s="45"/>
      <c r="M125" s="49"/>
      <c r="N125" s="45"/>
      <c r="O125" s="45"/>
    </row>
    <row r="126" spans="1:15">
      <c r="A126" s="50"/>
      <c r="B126" s="50"/>
      <c r="C126" s="51"/>
      <c r="D126" s="52"/>
      <c r="E126" s="46">
        <f t="shared" si="9"/>
        <v>0</v>
      </c>
      <c r="F126" s="50"/>
      <c r="G126" s="53"/>
      <c r="H126" s="50"/>
      <c r="I126" s="50"/>
      <c r="J126" s="54"/>
      <c r="K126" s="50"/>
      <c r="L126" s="50"/>
      <c r="M126" s="54"/>
      <c r="N126" s="50"/>
      <c r="O126" s="50"/>
    </row>
    <row r="127" spans="1:15">
      <c r="A127" s="45"/>
      <c r="B127" s="45"/>
      <c r="C127" s="46"/>
      <c r="D127" s="47"/>
      <c r="E127" s="46">
        <f t="shared" si="9"/>
        <v>0</v>
      </c>
      <c r="F127" s="45"/>
      <c r="G127" s="48"/>
      <c r="H127" s="45"/>
      <c r="I127" s="45"/>
      <c r="J127" s="49"/>
      <c r="K127" s="45"/>
      <c r="L127" s="45"/>
      <c r="M127" s="49"/>
      <c r="N127" s="45"/>
      <c r="O127" s="45"/>
    </row>
    <row r="128" spans="1:15">
      <c r="A128" s="50"/>
      <c r="B128" s="50"/>
      <c r="C128" s="51"/>
      <c r="D128" s="52"/>
      <c r="E128" s="46">
        <f t="shared" si="9"/>
        <v>0</v>
      </c>
      <c r="F128" s="50"/>
      <c r="G128" s="53"/>
      <c r="H128" s="50"/>
      <c r="I128" s="50"/>
      <c r="J128" s="54"/>
      <c r="K128" s="50"/>
      <c r="L128" s="50"/>
      <c r="M128" s="54"/>
      <c r="N128" s="50"/>
      <c r="O128" s="50"/>
    </row>
    <row r="129" spans="1:15">
      <c r="A129" s="45"/>
      <c r="B129" s="45"/>
      <c r="C129" s="46"/>
      <c r="D129" s="47"/>
      <c r="E129" s="46">
        <f t="shared" ref="E129:E192" si="10">D129*C129</f>
        <v>0</v>
      </c>
      <c r="F129" s="45"/>
      <c r="G129" s="48"/>
      <c r="H129" s="45"/>
      <c r="I129" s="45"/>
      <c r="J129" s="49"/>
      <c r="K129" s="45"/>
      <c r="L129" s="45"/>
      <c r="M129" s="49"/>
      <c r="N129" s="45"/>
      <c r="O129" s="45"/>
    </row>
    <row r="130" spans="1:15">
      <c r="A130" s="50"/>
      <c r="B130" s="50"/>
      <c r="C130" s="51"/>
      <c r="D130" s="52"/>
      <c r="E130" s="46">
        <f t="shared" si="10"/>
        <v>0</v>
      </c>
      <c r="F130" s="50"/>
      <c r="G130" s="53"/>
      <c r="H130" s="50"/>
      <c r="I130" s="50"/>
      <c r="J130" s="54"/>
      <c r="K130" s="50"/>
      <c r="L130" s="50"/>
      <c r="M130" s="54"/>
      <c r="N130" s="50"/>
      <c r="O130" s="50"/>
    </row>
    <row r="131" spans="1:15">
      <c r="A131" s="45"/>
      <c r="B131" s="45"/>
      <c r="C131" s="46"/>
      <c r="D131" s="47"/>
      <c r="E131" s="46">
        <f t="shared" si="10"/>
        <v>0</v>
      </c>
      <c r="F131" s="45"/>
      <c r="G131" s="48"/>
      <c r="H131" s="45"/>
      <c r="I131" s="45"/>
      <c r="J131" s="49"/>
      <c r="K131" s="45"/>
      <c r="L131" s="45"/>
      <c r="M131" s="49"/>
      <c r="N131" s="45"/>
      <c r="O131" s="45"/>
    </row>
    <row r="132" spans="1:15">
      <c r="A132" s="50"/>
      <c r="B132" s="50"/>
      <c r="C132" s="51"/>
      <c r="D132" s="52"/>
      <c r="E132" s="46">
        <f t="shared" si="10"/>
        <v>0</v>
      </c>
      <c r="F132" s="50"/>
      <c r="G132" s="53"/>
      <c r="H132" s="50"/>
      <c r="I132" s="50"/>
      <c r="J132" s="54"/>
      <c r="K132" s="50"/>
      <c r="L132" s="50"/>
      <c r="M132" s="54"/>
      <c r="N132" s="50"/>
      <c r="O132" s="50"/>
    </row>
    <row r="133" spans="1:15">
      <c r="A133" s="45"/>
      <c r="B133" s="45"/>
      <c r="C133" s="46"/>
      <c r="D133" s="47"/>
      <c r="E133" s="46">
        <f t="shared" si="10"/>
        <v>0</v>
      </c>
      <c r="F133" s="45"/>
      <c r="G133" s="48"/>
      <c r="H133" s="45"/>
      <c r="I133" s="45"/>
      <c r="J133" s="49"/>
      <c r="K133" s="45"/>
      <c r="L133" s="45"/>
      <c r="M133" s="49"/>
      <c r="N133" s="45"/>
      <c r="O133" s="45"/>
    </row>
    <row r="134" spans="1:15">
      <c r="A134" s="50"/>
      <c r="B134" s="50"/>
      <c r="C134" s="51"/>
      <c r="D134" s="52"/>
      <c r="E134" s="46">
        <f t="shared" si="10"/>
        <v>0</v>
      </c>
      <c r="F134" s="50"/>
      <c r="G134" s="53"/>
      <c r="H134" s="50"/>
      <c r="I134" s="50"/>
      <c r="J134" s="54"/>
      <c r="K134" s="50"/>
      <c r="L134" s="50"/>
      <c r="M134" s="54"/>
      <c r="N134" s="50"/>
      <c r="O134" s="50"/>
    </row>
    <row r="135" spans="1:15">
      <c r="A135" s="45"/>
      <c r="B135" s="45"/>
      <c r="C135" s="46"/>
      <c r="D135" s="47"/>
      <c r="E135" s="46">
        <f t="shared" si="10"/>
        <v>0</v>
      </c>
      <c r="F135" s="45"/>
      <c r="G135" s="48"/>
      <c r="H135" s="45"/>
      <c r="I135" s="45"/>
      <c r="J135" s="49"/>
      <c r="K135" s="45"/>
      <c r="L135" s="45"/>
      <c r="M135" s="49"/>
      <c r="N135" s="45"/>
      <c r="O135" s="45"/>
    </row>
    <row r="136" spans="1:15">
      <c r="A136" s="50"/>
      <c r="B136" s="50"/>
      <c r="C136" s="51"/>
      <c r="D136" s="52"/>
      <c r="E136" s="46">
        <f t="shared" si="10"/>
        <v>0</v>
      </c>
      <c r="F136" s="50"/>
      <c r="G136" s="53"/>
      <c r="H136" s="50"/>
      <c r="I136" s="50"/>
      <c r="J136" s="54"/>
      <c r="K136" s="50"/>
      <c r="L136" s="50"/>
      <c r="M136" s="54"/>
      <c r="N136" s="50"/>
      <c r="O136" s="50"/>
    </row>
    <row r="137" spans="1:15">
      <c r="A137" s="45"/>
      <c r="B137" s="45"/>
      <c r="C137" s="46"/>
      <c r="D137" s="47"/>
      <c r="E137" s="46">
        <f t="shared" si="10"/>
        <v>0</v>
      </c>
      <c r="F137" s="45"/>
      <c r="G137" s="48"/>
      <c r="H137" s="45"/>
      <c r="I137" s="45"/>
      <c r="J137" s="49"/>
      <c r="K137" s="45"/>
      <c r="L137" s="45"/>
      <c r="M137" s="49"/>
      <c r="N137" s="45"/>
      <c r="O137" s="45"/>
    </row>
    <row r="138" spans="1:15">
      <c r="A138" s="50"/>
      <c r="B138" s="50"/>
      <c r="C138" s="51"/>
      <c r="D138" s="52"/>
      <c r="E138" s="46">
        <f t="shared" si="10"/>
        <v>0</v>
      </c>
      <c r="F138" s="50"/>
      <c r="G138" s="53"/>
      <c r="H138" s="50"/>
      <c r="I138" s="50"/>
      <c r="J138" s="54"/>
      <c r="K138" s="50"/>
      <c r="L138" s="50"/>
      <c r="M138" s="54"/>
      <c r="N138" s="50"/>
      <c r="O138" s="50"/>
    </row>
    <row r="139" spans="1:15">
      <c r="A139" s="45"/>
      <c r="B139" s="45"/>
      <c r="C139" s="46"/>
      <c r="D139" s="47"/>
      <c r="E139" s="46">
        <f t="shared" si="10"/>
        <v>0</v>
      </c>
      <c r="F139" s="45"/>
      <c r="G139" s="48"/>
      <c r="H139" s="45"/>
      <c r="I139" s="45"/>
      <c r="J139" s="49"/>
      <c r="K139" s="45"/>
      <c r="L139" s="45"/>
      <c r="M139" s="49"/>
      <c r="N139" s="45"/>
      <c r="O139" s="45"/>
    </row>
    <row r="140" spans="1:15">
      <c r="A140" s="50"/>
      <c r="B140" s="50"/>
      <c r="C140" s="51"/>
      <c r="D140" s="52"/>
      <c r="E140" s="46">
        <f t="shared" si="10"/>
        <v>0</v>
      </c>
      <c r="F140" s="50"/>
      <c r="G140" s="53"/>
      <c r="H140" s="50"/>
      <c r="I140" s="50"/>
      <c r="J140" s="54"/>
      <c r="K140" s="50"/>
      <c r="L140" s="50"/>
      <c r="M140" s="54"/>
      <c r="N140" s="50"/>
      <c r="O140" s="50"/>
    </row>
    <row r="141" spans="1:15">
      <c r="A141" s="45"/>
      <c r="B141" s="45"/>
      <c r="C141" s="46"/>
      <c r="D141" s="47"/>
      <c r="E141" s="46">
        <f t="shared" si="10"/>
        <v>0</v>
      </c>
      <c r="F141" s="45"/>
      <c r="G141" s="48"/>
      <c r="H141" s="45"/>
      <c r="I141" s="45"/>
      <c r="J141" s="49"/>
      <c r="K141" s="45"/>
      <c r="L141" s="45"/>
      <c r="M141" s="49"/>
      <c r="N141" s="45"/>
      <c r="O141" s="45"/>
    </row>
    <row r="142" spans="1:15">
      <c r="A142" s="50"/>
      <c r="B142" s="50"/>
      <c r="C142" s="51"/>
      <c r="D142" s="52"/>
      <c r="E142" s="46">
        <f t="shared" si="10"/>
        <v>0</v>
      </c>
      <c r="F142" s="50"/>
      <c r="G142" s="53"/>
      <c r="H142" s="50"/>
      <c r="I142" s="50"/>
      <c r="J142" s="54"/>
      <c r="K142" s="50"/>
      <c r="L142" s="50"/>
      <c r="M142" s="54"/>
      <c r="N142" s="50"/>
      <c r="O142" s="50"/>
    </row>
    <row r="143" spans="1:15">
      <c r="A143" s="45"/>
      <c r="B143" s="45"/>
      <c r="C143" s="46"/>
      <c r="D143" s="47"/>
      <c r="E143" s="46">
        <f t="shared" si="10"/>
        <v>0</v>
      </c>
      <c r="F143" s="45"/>
      <c r="G143" s="48"/>
      <c r="H143" s="45"/>
      <c r="I143" s="45"/>
      <c r="J143" s="49"/>
      <c r="K143" s="45"/>
      <c r="L143" s="45"/>
      <c r="M143" s="49"/>
      <c r="N143" s="45"/>
      <c r="O143" s="45"/>
    </row>
    <row r="144" spans="1:15">
      <c r="A144" s="50"/>
      <c r="B144" s="50"/>
      <c r="C144" s="51"/>
      <c r="D144" s="52"/>
      <c r="E144" s="46">
        <f t="shared" si="10"/>
        <v>0</v>
      </c>
      <c r="F144" s="50"/>
      <c r="G144" s="53"/>
      <c r="H144" s="50"/>
      <c r="I144" s="50"/>
      <c r="J144" s="54"/>
      <c r="K144" s="50"/>
      <c r="L144" s="50"/>
      <c r="M144" s="54"/>
      <c r="N144" s="50"/>
      <c r="O144" s="50"/>
    </row>
    <row r="145" spans="1:15">
      <c r="A145" s="45"/>
      <c r="B145" s="45"/>
      <c r="C145" s="46"/>
      <c r="D145" s="47"/>
      <c r="E145" s="46">
        <f t="shared" si="10"/>
        <v>0</v>
      </c>
      <c r="F145" s="45"/>
      <c r="G145" s="48"/>
      <c r="H145" s="45"/>
      <c r="I145" s="45"/>
      <c r="J145" s="49"/>
      <c r="K145" s="45"/>
      <c r="L145" s="45"/>
      <c r="M145" s="49"/>
      <c r="N145" s="45"/>
      <c r="O145" s="45"/>
    </row>
    <row r="146" spans="1:15">
      <c r="A146" s="50"/>
      <c r="B146" s="50"/>
      <c r="C146" s="51"/>
      <c r="D146" s="52"/>
      <c r="E146" s="46">
        <f t="shared" si="10"/>
        <v>0</v>
      </c>
      <c r="F146" s="50"/>
      <c r="G146" s="53"/>
      <c r="H146" s="50"/>
      <c r="I146" s="50"/>
      <c r="J146" s="54"/>
      <c r="K146" s="50"/>
      <c r="L146" s="50"/>
      <c r="M146" s="54"/>
      <c r="N146" s="50"/>
      <c r="O146" s="50"/>
    </row>
    <row r="147" spans="1:15">
      <c r="A147" s="45"/>
      <c r="B147" s="45"/>
      <c r="C147" s="46"/>
      <c r="D147" s="47"/>
      <c r="E147" s="46">
        <f t="shared" si="10"/>
        <v>0</v>
      </c>
      <c r="F147" s="45"/>
      <c r="G147" s="48"/>
      <c r="H147" s="45"/>
      <c r="I147" s="45"/>
      <c r="J147" s="49"/>
      <c r="K147" s="45"/>
      <c r="L147" s="45"/>
      <c r="M147" s="49"/>
      <c r="N147" s="45"/>
      <c r="O147" s="45"/>
    </row>
    <row r="148" spans="1:15">
      <c r="A148" s="50"/>
      <c r="B148" s="50"/>
      <c r="C148" s="51"/>
      <c r="D148" s="52"/>
      <c r="E148" s="46">
        <f t="shared" si="10"/>
        <v>0</v>
      </c>
      <c r="F148" s="50"/>
      <c r="G148" s="53"/>
      <c r="H148" s="50"/>
      <c r="I148" s="50"/>
      <c r="J148" s="54"/>
      <c r="K148" s="50"/>
      <c r="L148" s="50"/>
      <c r="M148" s="54"/>
      <c r="N148" s="50"/>
      <c r="O148" s="50"/>
    </row>
    <row r="149" spans="1:15">
      <c r="A149" s="45"/>
      <c r="B149" s="45"/>
      <c r="C149" s="46"/>
      <c r="D149" s="47"/>
      <c r="E149" s="46">
        <f t="shared" si="10"/>
        <v>0</v>
      </c>
      <c r="F149" s="45"/>
      <c r="G149" s="48"/>
      <c r="H149" s="45"/>
      <c r="I149" s="45"/>
      <c r="J149" s="49"/>
      <c r="K149" s="45"/>
      <c r="L149" s="45"/>
      <c r="M149" s="49"/>
      <c r="N149" s="45"/>
      <c r="O149" s="45"/>
    </row>
    <row r="150" spans="1:15">
      <c r="A150" s="50"/>
      <c r="B150" s="50"/>
      <c r="C150" s="51"/>
      <c r="D150" s="52"/>
      <c r="E150" s="46">
        <f t="shared" si="10"/>
        <v>0</v>
      </c>
      <c r="F150" s="50"/>
      <c r="G150" s="53"/>
      <c r="H150" s="50"/>
      <c r="I150" s="50"/>
      <c r="J150" s="54"/>
      <c r="K150" s="50"/>
      <c r="L150" s="50"/>
      <c r="M150" s="54"/>
      <c r="N150" s="50"/>
      <c r="O150" s="50"/>
    </row>
    <row r="151" spans="1:15">
      <c r="A151" s="45"/>
      <c r="B151" s="45"/>
      <c r="C151" s="46"/>
      <c r="D151" s="47"/>
      <c r="E151" s="46">
        <f t="shared" si="10"/>
        <v>0</v>
      </c>
      <c r="F151" s="45"/>
      <c r="G151" s="48"/>
      <c r="H151" s="45"/>
      <c r="I151" s="45"/>
      <c r="J151" s="49"/>
      <c r="K151" s="45"/>
      <c r="L151" s="45"/>
      <c r="M151" s="49"/>
      <c r="N151" s="45"/>
      <c r="O151" s="45"/>
    </row>
    <row r="152" spans="1:15">
      <c r="A152" s="50"/>
      <c r="B152" s="50"/>
      <c r="C152" s="51"/>
      <c r="D152" s="52"/>
      <c r="E152" s="46">
        <f t="shared" si="10"/>
        <v>0</v>
      </c>
      <c r="F152" s="50"/>
      <c r="G152" s="53"/>
      <c r="H152" s="50"/>
      <c r="I152" s="50"/>
      <c r="J152" s="54"/>
      <c r="K152" s="50"/>
      <c r="L152" s="50"/>
      <c r="M152" s="54"/>
      <c r="N152" s="50"/>
      <c r="O152" s="50"/>
    </row>
    <row r="153" spans="1:15">
      <c r="A153" s="45"/>
      <c r="B153" s="45"/>
      <c r="C153" s="46"/>
      <c r="D153" s="47"/>
      <c r="E153" s="46">
        <f t="shared" si="10"/>
        <v>0</v>
      </c>
      <c r="F153" s="45"/>
      <c r="G153" s="48"/>
      <c r="H153" s="45"/>
      <c r="I153" s="45"/>
      <c r="J153" s="49"/>
      <c r="K153" s="45"/>
      <c r="L153" s="45"/>
      <c r="M153" s="49"/>
      <c r="N153" s="45"/>
      <c r="O153" s="45"/>
    </row>
    <row r="154" spans="1:15">
      <c r="A154" s="50"/>
      <c r="B154" s="50"/>
      <c r="C154" s="51"/>
      <c r="D154" s="52"/>
      <c r="E154" s="46">
        <f t="shared" si="10"/>
        <v>0</v>
      </c>
      <c r="F154" s="50"/>
      <c r="G154" s="53"/>
      <c r="H154" s="50"/>
      <c r="I154" s="50"/>
      <c r="J154" s="54"/>
      <c r="K154" s="50"/>
      <c r="L154" s="50"/>
      <c r="M154" s="54"/>
      <c r="N154" s="50"/>
      <c r="O154" s="50"/>
    </row>
    <row r="155" spans="1:15">
      <c r="A155" s="45"/>
      <c r="B155" s="45"/>
      <c r="C155" s="46"/>
      <c r="D155" s="47"/>
      <c r="E155" s="46">
        <f t="shared" si="10"/>
        <v>0</v>
      </c>
      <c r="F155" s="45"/>
      <c r="G155" s="48"/>
      <c r="H155" s="45"/>
      <c r="I155" s="45"/>
      <c r="J155" s="49"/>
      <c r="K155" s="45"/>
      <c r="L155" s="45"/>
      <c r="M155" s="49"/>
      <c r="N155" s="45"/>
      <c r="O155" s="45"/>
    </row>
    <row r="156" spans="1:15">
      <c r="A156" s="50"/>
      <c r="B156" s="50"/>
      <c r="C156" s="51"/>
      <c r="D156" s="52"/>
      <c r="E156" s="46">
        <f t="shared" si="10"/>
        <v>0</v>
      </c>
      <c r="F156" s="50"/>
      <c r="G156" s="53"/>
      <c r="H156" s="50"/>
      <c r="I156" s="50"/>
      <c r="J156" s="54"/>
      <c r="K156" s="50"/>
      <c r="L156" s="50"/>
      <c r="M156" s="54"/>
      <c r="N156" s="50"/>
      <c r="O156" s="50"/>
    </row>
    <row r="157" spans="1:15">
      <c r="A157" s="45"/>
      <c r="B157" s="45"/>
      <c r="C157" s="46"/>
      <c r="D157" s="47"/>
      <c r="E157" s="46">
        <f t="shared" si="10"/>
        <v>0</v>
      </c>
      <c r="F157" s="45"/>
      <c r="G157" s="48"/>
      <c r="H157" s="45"/>
      <c r="I157" s="45"/>
      <c r="J157" s="49"/>
      <c r="K157" s="45"/>
      <c r="L157" s="45"/>
      <c r="M157" s="49"/>
      <c r="N157" s="45"/>
      <c r="O157" s="45"/>
    </row>
    <row r="158" spans="1:15">
      <c r="A158" s="50"/>
      <c r="B158" s="50"/>
      <c r="C158" s="51"/>
      <c r="D158" s="52"/>
      <c r="E158" s="46">
        <f t="shared" si="10"/>
        <v>0</v>
      </c>
      <c r="F158" s="50"/>
      <c r="G158" s="53"/>
      <c r="H158" s="50"/>
      <c r="I158" s="50"/>
      <c r="J158" s="54"/>
      <c r="K158" s="50"/>
      <c r="L158" s="50"/>
      <c r="M158" s="54"/>
      <c r="N158" s="50"/>
      <c r="O158" s="50"/>
    </row>
    <row r="159" spans="1:15">
      <c r="A159" s="45"/>
      <c r="B159" s="45"/>
      <c r="C159" s="46"/>
      <c r="D159" s="47"/>
      <c r="E159" s="46">
        <f t="shared" si="10"/>
        <v>0</v>
      </c>
      <c r="F159" s="45"/>
      <c r="G159" s="48"/>
      <c r="H159" s="45"/>
      <c r="I159" s="45"/>
      <c r="J159" s="49"/>
      <c r="K159" s="45"/>
      <c r="L159" s="45"/>
      <c r="M159" s="49"/>
      <c r="N159" s="45"/>
      <c r="O159" s="45"/>
    </row>
    <row r="160" spans="1:15">
      <c r="A160" s="50"/>
      <c r="B160" s="50"/>
      <c r="C160" s="51"/>
      <c r="D160" s="52"/>
      <c r="E160" s="46">
        <f t="shared" si="10"/>
        <v>0</v>
      </c>
      <c r="F160" s="50"/>
      <c r="G160" s="53"/>
      <c r="H160" s="50"/>
      <c r="I160" s="50"/>
      <c r="J160" s="54"/>
      <c r="K160" s="50"/>
      <c r="L160" s="50"/>
      <c r="M160" s="54"/>
      <c r="N160" s="50"/>
      <c r="O160" s="50"/>
    </row>
    <row r="161" spans="1:15">
      <c r="A161" s="45"/>
      <c r="B161" s="45"/>
      <c r="C161" s="46"/>
      <c r="D161" s="47"/>
      <c r="E161" s="46">
        <f t="shared" si="10"/>
        <v>0</v>
      </c>
      <c r="F161" s="45"/>
      <c r="G161" s="48"/>
      <c r="H161" s="45"/>
      <c r="I161" s="45"/>
      <c r="J161" s="49"/>
      <c r="K161" s="45"/>
      <c r="L161" s="45"/>
      <c r="M161" s="49"/>
      <c r="N161" s="45"/>
      <c r="O161" s="45"/>
    </row>
    <row r="162" spans="1:15">
      <c r="A162" s="50"/>
      <c r="B162" s="50"/>
      <c r="C162" s="51"/>
      <c r="D162" s="52"/>
      <c r="E162" s="46">
        <f t="shared" si="10"/>
        <v>0</v>
      </c>
      <c r="F162" s="50"/>
      <c r="G162" s="53"/>
      <c r="H162" s="50"/>
      <c r="I162" s="50"/>
      <c r="J162" s="54"/>
      <c r="K162" s="50"/>
      <c r="L162" s="50"/>
      <c r="M162" s="54"/>
      <c r="N162" s="50"/>
      <c r="O162" s="50"/>
    </row>
    <row r="163" spans="1:15">
      <c r="A163" s="45"/>
      <c r="B163" s="45"/>
      <c r="C163" s="46"/>
      <c r="D163" s="47"/>
      <c r="E163" s="46">
        <f t="shared" si="10"/>
        <v>0</v>
      </c>
      <c r="F163" s="45"/>
      <c r="G163" s="48"/>
      <c r="H163" s="45"/>
      <c r="I163" s="45"/>
      <c r="J163" s="49"/>
      <c r="K163" s="45"/>
      <c r="L163" s="45"/>
      <c r="M163" s="49"/>
      <c r="N163" s="45"/>
      <c r="O163" s="45"/>
    </row>
    <row r="164" spans="1:15">
      <c r="A164" s="50"/>
      <c r="B164" s="50"/>
      <c r="C164" s="51"/>
      <c r="D164" s="52"/>
      <c r="E164" s="46">
        <f t="shared" si="10"/>
        <v>0</v>
      </c>
      <c r="F164" s="50"/>
      <c r="G164" s="53"/>
      <c r="H164" s="50"/>
      <c r="I164" s="50"/>
      <c r="J164" s="54"/>
      <c r="K164" s="50"/>
      <c r="L164" s="50"/>
      <c r="M164" s="54"/>
      <c r="N164" s="50"/>
      <c r="O164" s="50"/>
    </row>
    <row r="165" spans="1:15">
      <c r="A165" s="45"/>
      <c r="B165" s="45"/>
      <c r="C165" s="46"/>
      <c r="D165" s="47"/>
      <c r="E165" s="46">
        <f t="shared" si="10"/>
        <v>0</v>
      </c>
      <c r="F165" s="45"/>
      <c r="G165" s="48"/>
      <c r="H165" s="45"/>
      <c r="I165" s="45"/>
      <c r="J165" s="49"/>
      <c r="K165" s="45"/>
      <c r="L165" s="45"/>
      <c r="M165" s="49"/>
      <c r="N165" s="45"/>
      <c r="O165" s="45"/>
    </row>
    <row r="166" spans="1:15">
      <c r="A166" s="50"/>
      <c r="B166" s="50"/>
      <c r="C166" s="51"/>
      <c r="D166" s="52"/>
      <c r="E166" s="46">
        <f t="shared" si="10"/>
        <v>0</v>
      </c>
      <c r="F166" s="50"/>
      <c r="G166" s="53"/>
      <c r="H166" s="50"/>
      <c r="I166" s="50"/>
      <c r="J166" s="54"/>
      <c r="K166" s="50"/>
      <c r="L166" s="50"/>
      <c r="M166" s="54"/>
      <c r="N166" s="50"/>
      <c r="O166" s="50"/>
    </row>
    <row r="167" spans="1:15">
      <c r="A167" s="45"/>
      <c r="B167" s="45"/>
      <c r="C167" s="46"/>
      <c r="D167" s="47"/>
      <c r="E167" s="46">
        <f t="shared" si="10"/>
        <v>0</v>
      </c>
      <c r="F167" s="45"/>
      <c r="G167" s="48"/>
      <c r="H167" s="45"/>
      <c r="I167" s="45"/>
      <c r="J167" s="49"/>
      <c r="K167" s="45"/>
      <c r="L167" s="45"/>
      <c r="M167" s="49"/>
      <c r="N167" s="45"/>
      <c r="O167" s="45"/>
    </row>
    <row r="168" spans="1:15">
      <c r="A168" s="50"/>
      <c r="B168" s="50"/>
      <c r="C168" s="51"/>
      <c r="D168" s="52"/>
      <c r="E168" s="46">
        <f t="shared" si="10"/>
        <v>0</v>
      </c>
      <c r="F168" s="50"/>
      <c r="G168" s="53"/>
      <c r="H168" s="50"/>
      <c r="I168" s="50"/>
      <c r="J168" s="54"/>
      <c r="K168" s="50"/>
      <c r="L168" s="50"/>
      <c r="M168" s="54"/>
      <c r="N168" s="50"/>
      <c r="O168" s="50"/>
    </row>
    <row r="169" spans="1:15">
      <c r="A169" s="45"/>
      <c r="B169" s="45"/>
      <c r="C169" s="46"/>
      <c r="D169" s="47"/>
      <c r="E169" s="46">
        <f t="shared" si="10"/>
        <v>0</v>
      </c>
      <c r="F169" s="45"/>
      <c r="G169" s="48"/>
      <c r="H169" s="45"/>
      <c r="I169" s="45"/>
      <c r="J169" s="49"/>
      <c r="K169" s="45"/>
      <c r="L169" s="45"/>
      <c r="M169" s="49"/>
      <c r="N169" s="45"/>
      <c r="O169" s="45"/>
    </row>
    <row r="170" spans="1:15">
      <c r="A170" s="50"/>
      <c r="B170" s="50"/>
      <c r="C170" s="51"/>
      <c r="D170" s="52"/>
      <c r="E170" s="46">
        <f t="shared" si="10"/>
        <v>0</v>
      </c>
      <c r="F170" s="50"/>
      <c r="G170" s="53"/>
      <c r="H170" s="50"/>
      <c r="I170" s="50"/>
      <c r="J170" s="54"/>
      <c r="K170" s="50"/>
      <c r="L170" s="50"/>
      <c r="M170" s="54"/>
      <c r="N170" s="50"/>
      <c r="O170" s="50"/>
    </row>
    <row r="171" spans="1:15">
      <c r="A171" s="45"/>
      <c r="B171" s="45"/>
      <c r="C171" s="46"/>
      <c r="D171" s="47"/>
      <c r="E171" s="46">
        <f t="shared" si="10"/>
        <v>0</v>
      </c>
      <c r="F171" s="45"/>
      <c r="G171" s="48"/>
      <c r="H171" s="45"/>
      <c r="I171" s="45"/>
      <c r="J171" s="49"/>
      <c r="K171" s="45"/>
      <c r="L171" s="45"/>
      <c r="M171" s="49"/>
      <c r="N171" s="45"/>
      <c r="O171" s="45"/>
    </row>
    <row r="172" spans="1:15">
      <c r="A172" s="50"/>
      <c r="B172" s="50"/>
      <c r="C172" s="51"/>
      <c r="D172" s="52"/>
      <c r="E172" s="46">
        <f t="shared" si="10"/>
        <v>0</v>
      </c>
      <c r="F172" s="50"/>
      <c r="G172" s="53"/>
      <c r="H172" s="50"/>
      <c r="I172" s="50"/>
      <c r="J172" s="54"/>
      <c r="K172" s="50"/>
      <c r="L172" s="50"/>
      <c r="M172" s="54"/>
      <c r="N172" s="50"/>
      <c r="O172" s="50"/>
    </row>
    <row r="173" spans="1:15">
      <c r="A173" s="45"/>
      <c r="B173" s="45"/>
      <c r="C173" s="46"/>
      <c r="D173" s="47"/>
      <c r="E173" s="46">
        <f t="shared" si="10"/>
        <v>0</v>
      </c>
      <c r="F173" s="45"/>
      <c r="G173" s="48"/>
      <c r="H173" s="45"/>
      <c r="I173" s="45"/>
      <c r="J173" s="49"/>
      <c r="K173" s="45"/>
      <c r="L173" s="45"/>
      <c r="M173" s="49"/>
      <c r="N173" s="45"/>
      <c r="O173" s="45"/>
    </row>
    <row r="174" spans="1:15">
      <c r="A174" s="50"/>
      <c r="B174" s="50"/>
      <c r="C174" s="51"/>
      <c r="D174" s="52"/>
      <c r="E174" s="46">
        <f t="shared" si="10"/>
        <v>0</v>
      </c>
      <c r="F174" s="50"/>
      <c r="G174" s="53"/>
      <c r="H174" s="50"/>
      <c r="I174" s="50"/>
      <c r="J174" s="54"/>
      <c r="K174" s="50"/>
      <c r="L174" s="50"/>
      <c r="M174" s="54"/>
      <c r="N174" s="50"/>
      <c r="O174" s="50"/>
    </row>
    <row r="175" spans="1:15">
      <c r="A175" s="45"/>
      <c r="B175" s="45"/>
      <c r="C175" s="46"/>
      <c r="D175" s="47"/>
      <c r="E175" s="46">
        <f t="shared" si="10"/>
        <v>0</v>
      </c>
      <c r="F175" s="45"/>
      <c r="G175" s="48"/>
      <c r="H175" s="45"/>
      <c r="I175" s="45"/>
      <c r="J175" s="49"/>
      <c r="K175" s="45"/>
      <c r="L175" s="45"/>
      <c r="M175" s="49"/>
      <c r="N175" s="45"/>
      <c r="O175" s="45"/>
    </row>
    <row r="176" spans="1:15">
      <c r="A176" s="50"/>
      <c r="B176" s="50"/>
      <c r="C176" s="51"/>
      <c r="D176" s="52"/>
      <c r="E176" s="46">
        <f t="shared" si="10"/>
        <v>0</v>
      </c>
      <c r="F176" s="50"/>
      <c r="G176" s="53"/>
      <c r="H176" s="50"/>
      <c r="I176" s="50"/>
      <c r="J176" s="54"/>
      <c r="K176" s="50"/>
      <c r="L176" s="50"/>
      <c r="M176" s="54"/>
      <c r="N176" s="50"/>
      <c r="O176" s="50"/>
    </row>
    <row r="177" spans="1:15">
      <c r="A177" s="45"/>
      <c r="B177" s="45"/>
      <c r="C177" s="46"/>
      <c r="D177" s="47"/>
      <c r="E177" s="46">
        <f t="shared" si="10"/>
        <v>0</v>
      </c>
      <c r="F177" s="45"/>
      <c r="G177" s="48"/>
      <c r="H177" s="45"/>
      <c r="I177" s="45"/>
      <c r="J177" s="49"/>
      <c r="K177" s="45"/>
      <c r="L177" s="45"/>
      <c r="M177" s="49"/>
      <c r="N177" s="45"/>
      <c r="O177" s="45"/>
    </row>
    <row r="178" spans="1:15">
      <c r="A178" s="50"/>
      <c r="B178" s="50"/>
      <c r="C178" s="51"/>
      <c r="D178" s="52"/>
      <c r="E178" s="46">
        <f t="shared" si="10"/>
        <v>0</v>
      </c>
      <c r="F178" s="50"/>
      <c r="G178" s="53"/>
      <c r="H178" s="50"/>
      <c r="I178" s="50"/>
      <c r="J178" s="54"/>
      <c r="K178" s="50"/>
      <c r="L178" s="50"/>
      <c r="M178" s="54"/>
      <c r="N178" s="50"/>
      <c r="O178" s="50"/>
    </row>
    <row r="179" spans="1:15">
      <c r="A179" s="45"/>
      <c r="B179" s="45"/>
      <c r="C179" s="46"/>
      <c r="D179" s="47"/>
      <c r="E179" s="46">
        <f t="shared" si="10"/>
        <v>0</v>
      </c>
      <c r="F179" s="45"/>
      <c r="G179" s="48"/>
      <c r="H179" s="45"/>
      <c r="I179" s="45"/>
      <c r="J179" s="49"/>
      <c r="K179" s="45"/>
      <c r="L179" s="45"/>
      <c r="M179" s="49"/>
      <c r="N179" s="45"/>
      <c r="O179" s="45"/>
    </row>
    <row r="180" spans="1:15">
      <c r="A180" s="50"/>
      <c r="B180" s="50"/>
      <c r="C180" s="51"/>
      <c r="D180" s="52"/>
      <c r="E180" s="46">
        <f t="shared" si="10"/>
        <v>0</v>
      </c>
      <c r="F180" s="50"/>
      <c r="G180" s="53"/>
      <c r="H180" s="50"/>
      <c r="I180" s="50"/>
      <c r="J180" s="54"/>
      <c r="K180" s="50"/>
      <c r="L180" s="50"/>
      <c r="M180" s="54"/>
      <c r="N180" s="50"/>
      <c r="O180" s="50"/>
    </row>
    <row r="181" spans="1:15">
      <c r="A181" s="45"/>
      <c r="B181" s="45"/>
      <c r="C181" s="46"/>
      <c r="D181" s="47"/>
      <c r="E181" s="46">
        <f t="shared" si="10"/>
        <v>0</v>
      </c>
      <c r="F181" s="45"/>
      <c r="G181" s="48"/>
      <c r="H181" s="45"/>
      <c r="I181" s="45"/>
      <c r="J181" s="49"/>
      <c r="K181" s="45"/>
      <c r="L181" s="45"/>
      <c r="M181" s="49"/>
      <c r="N181" s="45"/>
      <c r="O181" s="45"/>
    </row>
    <row r="182" spans="1:15">
      <c r="A182" s="50"/>
      <c r="B182" s="50"/>
      <c r="C182" s="51"/>
      <c r="D182" s="52"/>
      <c r="E182" s="46">
        <f t="shared" si="10"/>
        <v>0</v>
      </c>
      <c r="F182" s="50"/>
      <c r="G182" s="53"/>
      <c r="H182" s="50"/>
      <c r="I182" s="50"/>
      <c r="J182" s="54"/>
      <c r="K182" s="50"/>
      <c r="L182" s="50"/>
      <c r="M182" s="54"/>
      <c r="N182" s="50"/>
      <c r="O182" s="50"/>
    </row>
    <row r="183" spans="1:15">
      <c r="A183" s="45"/>
      <c r="B183" s="45"/>
      <c r="C183" s="46"/>
      <c r="D183" s="47"/>
      <c r="E183" s="46">
        <f t="shared" si="10"/>
        <v>0</v>
      </c>
      <c r="F183" s="45"/>
      <c r="G183" s="48"/>
      <c r="H183" s="45"/>
      <c r="I183" s="45"/>
      <c r="J183" s="49"/>
      <c r="K183" s="45"/>
      <c r="L183" s="45"/>
      <c r="M183" s="49"/>
      <c r="N183" s="45"/>
      <c r="O183" s="45"/>
    </row>
    <row r="184" spans="1:15">
      <c r="A184" s="50"/>
      <c r="B184" s="50"/>
      <c r="C184" s="51"/>
      <c r="D184" s="52"/>
      <c r="E184" s="46">
        <f t="shared" si="10"/>
        <v>0</v>
      </c>
      <c r="F184" s="50"/>
      <c r="G184" s="53"/>
      <c r="H184" s="50"/>
      <c r="I184" s="50"/>
      <c r="J184" s="54"/>
      <c r="K184" s="50"/>
      <c r="L184" s="50"/>
      <c r="M184" s="54"/>
      <c r="N184" s="50"/>
      <c r="O184" s="50"/>
    </row>
    <row r="185" spans="1:15">
      <c r="A185" s="45"/>
      <c r="B185" s="45"/>
      <c r="C185" s="46"/>
      <c r="D185" s="47"/>
      <c r="E185" s="46">
        <f t="shared" si="10"/>
        <v>0</v>
      </c>
      <c r="F185" s="45"/>
      <c r="G185" s="48"/>
      <c r="H185" s="45"/>
      <c r="I185" s="45"/>
      <c r="J185" s="49"/>
      <c r="K185" s="45"/>
      <c r="L185" s="45"/>
      <c r="M185" s="49"/>
      <c r="N185" s="45"/>
      <c r="O185" s="45"/>
    </row>
    <row r="186" spans="1:15">
      <c r="A186" s="50"/>
      <c r="B186" s="50"/>
      <c r="C186" s="51"/>
      <c r="D186" s="52"/>
      <c r="E186" s="46">
        <f t="shared" si="10"/>
        <v>0</v>
      </c>
      <c r="F186" s="50"/>
      <c r="G186" s="53"/>
      <c r="H186" s="50"/>
      <c r="I186" s="50"/>
      <c r="J186" s="54"/>
      <c r="K186" s="50"/>
      <c r="L186" s="50"/>
      <c r="M186" s="54"/>
      <c r="N186" s="50"/>
      <c r="O186" s="50"/>
    </row>
    <row r="187" spans="1:15">
      <c r="A187" s="45"/>
      <c r="B187" s="45"/>
      <c r="C187" s="46"/>
      <c r="D187" s="47"/>
      <c r="E187" s="46">
        <f t="shared" si="10"/>
        <v>0</v>
      </c>
      <c r="F187" s="45"/>
      <c r="G187" s="48"/>
      <c r="H187" s="45"/>
      <c r="I187" s="45"/>
      <c r="J187" s="49"/>
      <c r="K187" s="45"/>
      <c r="L187" s="45"/>
      <c r="M187" s="49"/>
      <c r="N187" s="45"/>
      <c r="O187" s="45"/>
    </row>
    <row r="188" spans="1:15">
      <c r="A188" s="50"/>
      <c r="B188" s="50"/>
      <c r="C188" s="51"/>
      <c r="D188" s="52"/>
      <c r="E188" s="46">
        <f t="shared" si="10"/>
        <v>0</v>
      </c>
      <c r="F188" s="50"/>
      <c r="G188" s="53"/>
      <c r="H188" s="50"/>
      <c r="I188" s="50"/>
      <c r="J188" s="54"/>
      <c r="K188" s="50"/>
      <c r="L188" s="50"/>
      <c r="M188" s="54"/>
      <c r="N188" s="50"/>
      <c r="O188" s="50"/>
    </row>
    <row r="189" spans="1:15">
      <c r="A189" s="45"/>
      <c r="B189" s="45"/>
      <c r="C189" s="46"/>
      <c r="D189" s="47"/>
      <c r="E189" s="46">
        <f t="shared" si="10"/>
        <v>0</v>
      </c>
      <c r="F189" s="45"/>
      <c r="G189" s="48"/>
      <c r="H189" s="45"/>
      <c r="I189" s="45"/>
      <c r="J189" s="49"/>
      <c r="K189" s="45"/>
      <c r="L189" s="45"/>
      <c r="M189" s="49"/>
      <c r="N189" s="45"/>
      <c r="O189" s="45"/>
    </row>
    <row r="190" spans="1:15">
      <c r="A190" s="50"/>
      <c r="B190" s="50"/>
      <c r="C190" s="51"/>
      <c r="D190" s="52"/>
      <c r="E190" s="46">
        <f t="shared" si="10"/>
        <v>0</v>
      </c>
      <c r="F190" s="50"/>
      <c r="G190" s="53"/>
      <c r="H190" s="50"/>
      <c r="I190" s="50"/>
      <c r="J190" s="54"/>
      <c r="K190" s="50"/>
      <c r="L190" s="50"/>
      <c r="M190" s="54"/>
      <c r="N190" s="50"/>
      <c r="O190" s="50"/>
    </row>
    <row r="191" spans="1:15">
      <c r="A191" s="45"/>
      <c r="B191" s="45"/>
      <c r="C191" s="46"/>
      <c r="D191" s="47"/>
      <c r="E191" s="46">
        <f t="shared" si="10"/>
        <v>0</v>
      </c>
      <c r="F191" s="45"/>
      <c r="G191" s="48"/>
      <c r="H191" s="45"/>
      <c r="I191" s="45"/>
      <c r="J191" s="49"/>
      <c r="K191" s="45"/>
      <c r="L191" s="45"/>
      <c r="M191" s="49"/>
      <c r="N191" s="45"/>
      <c r="O191" s="45"/>
    </row>
    <row r="192" spans="1:15">
      <c r="A192" s="50"/>
      <c r="B192" s="50"/>
      <c r="C192" s="51"/>
      <c r="D192" s="52"/>
      <c r="E192" s="46">
        <f t="shared" si="10"/>
        <v>0</v>
      </c>
      <c r="F192" s="50"/>
      <c r="G192" s="53"/>
      <c r="H192" s="50"/>
      <c r="I192" s="50"/>
      <c r="J192" s="54"/>
      <c r="K192" s="50"/>
      <c r="L192" s="50"/>
      <c r="M192" s="54"/>
      <c r="N192" s="50"/>
      <c r="O192" s="50"/>
    </row>
    <row r="193" spans="1:15">
      <c r="A193" s="45"/>
      <c r="B193" s="45"/>
      <c r="C193" s="46"/>
      <c r="D193" s="47"/>
      <c r="E193" s="46">
        <f t="shared" ref="E193:E256" si="11">D193*C193</f>
        <v>0</v>
      </c>
      <c r="F193" s="45"/>
      <c r="G193" s="48"/>
      <c r="H193" s="45"/>
      <c r="I193" s="45"/>
      <c r="J193" s="49"/>
      <c r="K193" s="45"/>
      <c r="L193" s="45"/>
      <c r="M193" s="49"/>
      <c r="N193" s="45"/>
      <c r="O193" s="45"/>
    </row>
    <row r="194" spans="1:15">
      <c r="A194" s="50"/>
      <c r="B194" s="50"/>
      <c r="C194" s="51"/>
      <c r="D194" s="52"/>
      <c r="E194" s="46">
        <f t="shared" si="11"/>
        <v>0</v>
      </c>
      <c r="F194" s="50"/>
      <c r="G194" s="53"/>
      <c r="H194" s="50"/>
      <c r="I194" s="50"/>
      <c r="J194" s="54"/>
      <c r="K194" s="50"/>
      <c r="L194" s="50"/>
      <c r="M194" s="54"/>
      <c r="N194" s="50"/>
      <c r="O194" s="50"/>
    </row>
    <row r="195" spans="1:15">
      <c r="A195" s="45"/>
      <c r="B195" s="45"/>
      <c r="C195" s="46"/>
      <c r="D195" s="47"/>
      <c r="E195" s="46">
        <f t="shared" si="11"/>
        <v>0</v>
      </c>
      <c r="F195" s="45"/>
      <c r="G195" s="48"/>
      <c r="H195" s="45"/>
      <c r="I195" s="45"/>
      <c r="J195" s="49"/>
      <c r="K195" s="45"/>
      <c r="L195" s="45"/>
      <c r="M195" s="49"/>
      <c r="N195" s="45"/>
      <c r="O195" s="45"/>
    </row>
    <row r="196" spans="1:15">
      <c r="A196" s="50"/>
      <c r="B196" s="50"/>
      <c r="C196" s="51"/>
      <c r="D196" s="52"/>
      <c r="E196" s="46">
        <f t="shared" si="11"/>
        <v>0</v>
      </c>
      <c r="F196" s="50"/>
      <c r="G196" s="53"/>
      <c r="H196" s="50"/>
      <c r="I196" s="50"/>
      <c r="J196" s="54"/>
      <c r="K196" s="50"/>
      <c r="L196" s="50"/>
      <c r="M196" s="54"/>
      <c r="N196" s="50"/>
      <c r="O196" s="50"/>
    </row>
    <row r="197" spans="1:15">
      <c r="A197" s="45"/>
      <c r="B197" s="45"/>
      <c r="C197" s="46"/>
      <c r="D197" s="47"/>
      <c r="E197" s="46">
        <f t="shared" si="11"/>
        <v>0</v>
      </c>
      <c r="F197" s="45"/>
      <c r="G197" s="48"/>
      <c r="H197" s="45"/>
      <c r="I197" s="45"/>
      <c r="J197" s="49"/>
      <c r="K197" s="45"/>
      <c r="L197" s="45"/>
      <c r="M197" s="49"/>
      <c r="N197" s="45"/>
      <c r="O197" s="45"/>
    </row>
    <row r="198" spans="1:15">
      <c r="A198" s="50"/>
      <c r="B198" s="50"/>
      <c r="C198" s="51"/>
      <c r="D198" s="52"/>
      <c r="E198" s="46">
        <f t="shared" si="11"/>
        <v>0</v>
      </c>
      <c r="F198" s="50"/>
      <c r="G198" s="53"/>
      <c r="H198" s="50"/>
      <c r="I198" s="50"/>
      <c r="J198" s="54"/>
      <c r="K198" s="50"/>
      <c r="L198" s="50"/>
      <c r="M198" s="54"/>
      <c r="N198" s="50"/>
      <c r="O198" s="50"/>
    </row>
    <row r="199" spans="1:15">
      <c r="A199" s="45"/>
      <c r="B199" s="45"/>
      <c r="C199" s="46"/>
      <c r="D199" s="47"/>
      <c r="E199" s="46">
        <f t="shared" si="11"/>
        <v>0</v>
      </c>
      <c r="F199" s="45"/>
      <c r="G199" s="48"/>
      <c r="H199" s="45"/>
      <c r="I199" s="45"/>
      <c r="J199" s="49"/>
      <c r="K199" s="45"/>
      <c r="L199" s="45"/>
      <c r="M199" s="49"/>
      <c r="N199" s="45"/>
      <c r="O199" s="45"/>
    </row>
    <row r="200" spans="1:15">
      <c r="A200" s="50"/>
      <c r="B200" s="50"/>
      <c r="C200" s="51"/>
      <c r="D200" s="52"/>
      <c r="E200" s="46">
        <f t="shared" si="11"/>
        <v>0</v>
      </c>
      <c r="F200" s="50"/>
      <c r="G200" s="53"/>
      <c r="H200" s="50"/>
      <c r="I200" s="50"/>
      <c r="J200" s="54"/>
      <c r="K200" s="50"/>
      <c r="L200" s="50"/>
      <c r="M200" s="54"/>
      <c r="N200" s="50"/>
      <c r="O200" s="50"/>
    </row>
    <row r="201" spans="1:15">
      <c r="A201" s="45"/>
      <c r="B201" s="45"/>
      <c r="C201" s="46"/>
      <c r="D201" s="47"/>
      <c r="E201" s="46">
        <f t="shared" si="11"/>
        <v>0</v>
      </c>
      <c r="F201" s="45"/>
      <c r="G201" s="48"/>
      <c r="H201" s="45"/>
      <c r="I201" s="45"/>
      <c r="J201" s="49"/>
      <c r="K201" s="45"/>
      <c r="L201" s="45"/>
      <c r="M201" s="49"/>
      <c r="N201" s="45"/>
      <c r="O201" s="45"/>
    </row>
    <row r="202" spans="1:15">
      <c r="A202" s="50"/>
      <c r="B202" s="50"/>
      <c r="C202" s="51"/>
      <c r="D202" s="52"/>
      <c r="E202" s="46">
        <f t="shared" si="11"/>
        <v>0</v>
      </c>
      <c r="F202" s="50"/>
      <c r="G202" s="53"/>
      <c r="H202" s="50"/>
      <c r="I202" s="50"/>
      <c r="J202" s="54"/>
      <c r="K202" s="50"/>
      <c r="L202" s="50"/>
      <c r="M202" s="54"/>
      <c r="N202" s="50"/>
      <c r="O202" s="50"/>
    </row>
    <row r="203" spans="1:15">
      <c r="A203" s="45"/>
      <c r="B203" s="45"/>
      <c r="C203" s="46"/>
      <c r="D203" s="47"/>
      <c r="E203" s="46">
        <f t="shared" si="11"/>
        <v>0</v>
      </c>
      <c r="F203" s="45"/>
      <c r="G203" s="48"/>
      <c r="H203" s="45"/>
      <c r="I203" s="45"/>
      <c r="J203" s="49"/>
      <c r="K203" s="45"/>
      <c r="L203" s="45"/>
      <c r="M203" s="49"/>
      <c r="N203" s="45"/>
      <c r="O203" s="45"/>
    </row>
    <row r="204" spans="1:15">
      <c r="A204" s="50"/>
      <c r="B204" s="50"/>
      <c r="C204" s="51"/>
      <c r="D204" s="52"/>
      <c r="E204" s="46">
        <f t="shared" si="11"/>
        <v>0</v>
      </c>
      <c r="F204" s="50"/>
      <c r="G204" s="53"/>
      <c r="H204" s="50"/>
      <c r="I204" s="50"/>
      <c r="J204" s="54"/>
      <c r="K204" s="50"/>
      <c r="L204" s="50"/>
      <c r="M204" s="54"/>
      <c r="N204" s="50"/>
      <c r="O204" s="50"/>
    </row>
    <row r="205" spans="1:15">
      <c r="A205" s="45"/>
      <c r="B205" s="45"/>
      <c r="C205" s="46"/>
      <c r="D205" s="47"/>
      <c r="E205" s="46">
        <f t="shared" si="11"/>
        <v>0</v>
      </c>
      <c r="F205" s="45"/>
      <c r="G205" s="48"/>
      <c r="H205" s="45"/>
      <c r="I205" s="45"/>
      <c r="J205" s="49"/>
      <c r="K205" s="45"/>
      <c r="L205" s="45"/>
      <c r="M205" s="49"/>
      <c r="N205" s="45"/>
      <c r="O205" s="45"/>
    </row>
    <row r="206" spans="1:15">
      <c r="A206" s="50"/>
      <c r="B206" s="50"/>
      <c r="C206" s="51"/>
      <c r="D206" s="52"/>
      <c r="E206" s="46">
        <f t="shared" si="11"/>
        <v>0</v>
      </c>
      <c r="F206" s="50"/>
      <c r="G206" s="53"/>
      <c r="H206" s="50"/>
      <c r="I206" s="50"/>
      <c r="J206" s="54"/>
      <c r="K206" s="50"/>
      <c r="L206" s="50"/>
      <c r="M206" s="54"/>
      <c r="N206" s="50"/>
      <c r="O206" s="50"/>
    </row>
    <row r="207" spans="1:15">
      <c r="A207" s="45"/>
      <c r="B207" s="45"/>
      <c r="C207" s="46"/>
      <c r="D207" s="47"/>
      <c r="E207" s="46">
        <f t="shared" si="11"/>
        <v>0</v>
      </c>
      <c r="F207" s="45"/>
      <c r="G207" s="48"/>
      <c r="H207" s="45"/>
      <c r="I207" s="45"/>
      <c r="J207" s="49"/>
      <c r="K207" s="45"/>
      <c r="L207" s="45"/>
      <c r="M207" s="49"/>
      <c r="N207" s="45"/>
      <c r="O207" s="45"/>
    </row>
    <row r="208" spans="1:15">
      <c r="A208" s="50"/>
      <c r="B208" s="50"/>
      <c r="C208" s="51"/>
      <c r="D208" s="52"/>
      <c r="E208" s="46">
        <f t="shared" si="11"/>
        <v>0</v>
      </c>
      <c r="F208" s="50"/>
      <c r="G208" s="53"/>
      <c r="H208" s="50"/>
      <c r="I208" s="50"/>
      <c r="J208" s="54"/>
      <c r="K208" s="50"/>
      <c r="L208" s="50"/>
      <c r="M208" s="54"/>
      <c r="N208" s="50"/>
      <c r="O208" s="50"/>
    </row>
    <row r="209" spans="1:15">
      <c r="A209" s="45"/>
      <c r="B209" s="45"/>
      <c r="C209" s="46"/>
      <c r="D209" s="47"/>
      <c r="E209" s="46">
        <f t="shared" si="11"/>
        <v>0</v>
      </c>
      <c r="F209" s="45"/>
      <c r="G209" s="48"/>
      <c r="H209" s="45"/>
      <c r="I209" s="45"/>
      <c r="J209" s="49"/>
      <c r="K209" s="45"/>
      <c r="L209" s="45"/>
      <c r="M209" s="49"/>
      <c r="N209" s="45"/>
      <c r="O209" s="45"/>
    </row>
    <row r="210" spans="1:15">
      <c r="A210" s="50"/>
      <c r="B210" s="50"/>
      <c r="C210" s="51"/>
      <c r="D210" s="52"/>
      <c r="E210" s="46">
        <f t="shared" si="11"/>
        <v>0</v>
      </c>
      <c r="F210" s="50"/>
      <c r="G210" s="53"/>
      <c r="H210" s="50"/>
      <c r="I210" s="50"/>
      <c r="J210" s="54"/>
      <c r="K210" s="50"/>
      <c r="L210" s="50"/>
      <c r="M210" s="54"/>
      <c r="N210" s="50"/>
      <c r="O210" s="50"/>
    </row>
    <row r="211" spans="1:15">
      <c r="A211" s="45"/>
      <c r="B211" s="45"/>
      <c r="C211" s="46"/>
      <c r="D211" s="47"/>
      <c r="E211" s="46">
        <f t="shared" si="11"/>
        <v>0</v>
      </c>
      <c r="F211" s="45"/>
      <c r="G211" s="48"/>
      <c r="H211" s="45"/>
      <c r="I211" s="45"/>
      <c r="J211" s="49"/>
      <c r="K211" s="45"/>
      <c r="L211" s="45"/>
      <c r="M211" s="49"/>
      <c r="N211" s="45"/>
      <c r="O211" s="45"/>
    </row>
    <row r="212" spans="1:15">
      <c r="A212" s="50"/>
      <c r="B212" s="50"/>
      <c r="C212" s="51"/>
      <c r="D212" s="52"/>
      <c r="E212" s="46">
        <f t="shared" si="11"/>
        <v>0</v>
      </c>
      <c r="F212" s="50"/>
      <c r="G212" s="53"/>
      <c r="H212" s="50"/>
      <c r="I212" s="50"/>
      <c r="J212" s="54"/>
      <c r="K212" s="50"/>
      <c r="L212" s="50"/>
      <c r="M212" s="54"/>
      <c r="N212" s="50"/>
      <c r="O212" s="50"/>
    </row>
    <row r="213" spans="1:15">
      <c r="A213" s="45"/>
      <c r="B213" s="45"/>
      <c r="C213" s="46"/>
      <c r="D213" s="47"/>
      <c r="E213" s="46">
        <f t="shared" si="11"/>
        <v>0</v>
      </c>
      <c r="F213" s="45"/>
      <c r="G213" s="48"/>
      <c r="H213" s="45"/>
      <c r="I213" s="45"/>
      <c r="J213" s="49"/>
      <c r="K213" s="45"/>
      <c r="L213" s="45"/>
      <c r="M213" s="49"/>
      <c r="N213" s="45"/>
      <c r="O213" s="45"/>
    </row>
    <row r="214" spans="1:15">
      <c r="A214" s="50"/>
      <c r="B214" s="50"/>
      <c r="C214" s="51"/>
      <c r="D214" s="52"/>
      <c r="E214" s="46">
        <f t="shared" si="11"/>
        <v>0</v>
      </c>
      <c r="F214" s="50"/>
      <c r="G214" s="53"/>
      <c r="H214" s="50"/>
      <c r="I214" s="50"/>
      <c r="J214" s="54"/>
      <c r="K214" s="50"/>
      <c r="L214" s="50"/>
      <c r="M214" s="54"/>
      <c r="N214" s="50"/>
      <c r="O214" s="50"/>
    </row>
    <row r="215" spans="1:15">
      <c r="A215" s="45"/>
      <c r="B215" s="45"/>
      <c r="C215" s="46"/>
      <c r="D215" s="47"/>
      <c r="E215" s="46">
        <f t="shared" si="11"/>
        <v>0</v>
      </c>
      <c r="F215" s="45"/>
      <c r="G215" s="48"/>
      <c r="H215" s="45"/>
      <c r="I215" s="45"/>
      <c r="J215" s="49"/>
      <c r="K215" s="45"/>
      <c r="L215" s="45"/>
      <c r="M215" s="49"/>
      <c r="N215" s="45"/>
      <c r="O215" s="45"/>
    </row>
    <row r="216" spans="1:15">
      <c r="A216" s="50"/>
      <c r="B216" s="50"/>
      <c r="C216" s="51"/>
      <c r="D216" s="52"/>
      <c r="E216" s="46">
        <f t="shared" si="11"/>
        <v>0</v>
      </c>
      <c r="F216" s="50"/>
      <c r="G216" s="53"/>
      <c r="H216" s="50"/>
      <c r="I216" s="50"/>
      <c r="J216" s="54"/>
      <c r="K216" s="50"/>
      <c r="L216" s="50"/>
      <c r="M216" s="54"/>
      <c r="N216" s="50"/>
      <c r="O216" s="50"/>
    </row>
    <row r="217" spans="1:15">
      <c r="A217" s="45"/>
      <c r="B217" s="45"/>
      <c r="C217" s="46"/>
      <c r="D217" s="47"/>
      <c r="E217" s="46">
        <f t="shared" si="11"/>
        <v>0</v>
      </c>
      <c r="F217" s="45"/>
      <c r="G217" s="48"/>
      <c r="H217" s="45"/>
      <c r="I217" s="45"/>
      <c r="J217" s="49"/>
      <c r="K217" s="45"/>
      <c r="L217" s="45"/>
      <c r="M217" s="49"/>
      <c r="N217" s="45"/>
      <c r="O217" s="45"/>
    </row>
    <row r="218" spans="1:15">
      <c r="A218" s="50"/>
      <c r="B218" s="50"/>
      <c r="C218" s="51"/>
      <c r="D218" s="52"/>
      <c r="E218" s="46">
        <f t="shared" si="11"/>
        <v>0</v>
      </c>
      <c r="F218" s="50"/>
      <c r="G218" s="53"/>
      <c r="H218" s="50"/>
      <c r="I218" s="50"/>
      <c r="J218" s="54"/>
      <c r="K218" s="50"/>
      <c r="L218" s="50"/>
      <c r="M218" s="54"/>
      <c r="N218" s="50"/>
      <c r="O218" s="50"/>
    </row>
    <row r="219" spans="1:15">
      <c r="A219" s="45"/>
      <c r="B219" s="45"/>
      <c r="C219" s="46"/>
      <c r="D219" s="47"/>
      <c r="E219" s="46">
        <f t="shared" si="11"/>
        <v>0</v>
      </c>
      <c r="F219" s="45"/>
      <c r="G219" s="48"/>
      <c r="H219" s="45"/>
      <c r="I219" s="45"/>
      <c r="J219" s="49"/>
      <c r="K219" s="45"/>
      <c r="L219" s="45"/>
      <c r="M219" s="49"/>
      <c r="N219" s="45"/>
      <c r="O219" s="45"/>
    </row>
    <row r="220" spans="1:15">
      <c r="A220" s="50"/>
      <c r="B220" s="50"/>
      <c r="C220" s="51"/>
      <c r="D220" s="52"/>
      <c r="E220" s="46">
        <f t="shared" si="11"/>
        <v>0</v>
      </c>
      <c r="F220" s="50"/>
      <c r="G220" s="53"/>
      <c r="H220" s="50"/>
      <c r="I220" s="50"/>
      <c r="J220" s="54"/>
      <c r="K220" s="50"/>
      <c r="L220" s="50"/>
      <c r="M220" s="54"/>
      <c r="N220" s="50"/>
      <c r="O220" s="50"/>
    </row>
    <row r="221" spans="1:15">
      <c r="A221" s="45"/>
      <c r="B221" s="45"/>
      <c r="C221" s="46"/>
      <c r="D221" s="47"/>
      <c r="E221" s="46">
        <f t="shared" si="11"/>
        <v>0</v>
      </c>
      <c r="F221" s="45"/>
      <c r="G221" s="48"/>
      <c r="H221" s="45"/>
      <c r="I221" s="45"/>
      <c r="J221" s="49"/>
      <c r="K221" s="45"/>
      <c r="L221" s="45"/>
      <c r="M221" s="49"/>
      <c r="N221" s="45"/>
      <c r="O221" s="45"/>
    </row>
    <row r="222" spans="1:15">
      <c r="A222" s="50"/>
      <c r="B222" s="50"/>
      <c r="C222" s="51"/>
      <c r="D222" s="52"/>
      <c r="E222" s="46">
        <f t="shared" si="11"/>
        <v>0</v>
      </c>
      <c r="F222" s="50"/>
      <c r="G222" s="53"/>
      <c r="H222" s="50"/>
      <c r="I222" s="50"/>
      <c r="J222" s="54"/>
      <c r="K222" s="50"/>
      <c r="L222" s="50"/>
      <c r="M222" s="54"/>
      <c r="N222" s="50"/>
      <c r="O222" s="50"/>
    </row>
    <row r="223" spans="1:15">
      <c r="A223" s="45"/>
      <c r="B223" s="45"/>
      <c r="C223" s="46"/>
      <c r="D223" s="47"/>
      <c r="E223" s="46">
        <f t="shared" si="11"/>
        <v>0</v>
      </c>
      <c r="F223" s="45"/>
      <c r="G223" s="48"/>
      <c r="H223" s="45"/>
      <c r="I223" s="45"/>
      <c r="J223" s="49"/>
      <c r="K223" s="45"/>
      <c r="L223" s="45"/>
      <c r="M223" s="49"/>
      <c r="N223" s="45"/>
      <c r="O223" s="45"/>
    </row>
    <row r="224" spans="1:15">
      <c r="A224" s="50"/>
      <c r="B224" s="50"/>
      <c r="C224" s="51"/>
      <c r="D224" s="52"/>
      <c r="E224" s="46">
        <f t="shared" si="11"/>
        <v>0</v>
      </c>
      <c r="F224" s="50"/>
      <c r="G224" s="53"/>
      <c r="H224" s="50"/>
      <c r="I224" s="50"/>
      <c r="J224" s="54"/>
      <c r="K224" s="50"/>
      <c r="L224" s="50"/>
      <c r="M224" s="54"/>
      <c r="N224" s="50"/>
      <c r="O224" s="50"/>
    </row>
    <row r="225" spans="1:15">
      <c r="A225" s="45"/>
      <c r="B225" s="45"/>
      <c r="C225" s="46"/>
      <c r="D225" s="47"/>
      <c r="E225" s="46">
        <f t="shared" si="11"/>
        <v>0</v>
      </c>
      <c r="F225" s="45"/>
      <c r="G225" s="48"/>
      <c r="H225" s="45"/>
      <c r="I225" s="45"/>
      <c r="J225" s="49"/>
      <c r="K225" s="45"/>
      <c r="L225" s="45"/>
      <c r="M225" s="49"/>
      <c r="N225" s="45"/>
      <c r="O225" s="45"/>
    </row>
    <row r="226" spans="1:15">
      <c r="A226" s="50"/>
      <c r="B226" s="50"/>
      <c r="C226" s="51"/>
      <c r="D226" s="52"/>
      <c r="E226" s="46">
        <f t="shared" si="11"/>
        <v>0</v>
      </c>
      <c r="F226" s="50"/>
      <c r="G226" s="53"/>
      <c r="H226" s="50"/>
      <c r="I226" s="50"/>
      <c r="J226" s="54"/>
      <c r="K226" s="50"/>
      <c r="L226" s="50"/>
      <c r="M226" s="54"/>
      <c r="N226" s="50"/>
      <c r="O226" s="50"/>
    </row>
    <row r="227" spans="1:15">
      <c r="A227" s="45"/>
      <c r="B227" s="45"/>
      <c r="C227" s="46"/>
      <c r="D227" s="47"/>
      <c r="E227" s="46">
        <f t="shared" si="11"/>
        <v>0</v>
      </c>
      <c r="F227" s="45"/>
      <c r="G227" s="48"/>
      <c r="H227" s="45"/>
      <c r="I227" s="45"/>
      <c r="J227" s="49"/>
      <c r="K227" s="45"/>
      <c r="L227" s="45"/>
      <c r="M227" s="49"/>
      <c r="N227" s="45"/>
      <c r="O227" s="45"/>
    </row>
    <row r="228" spans="1:15">
      <c r="A228" s="50"/>
      <c r="B228" s="50"/>
      <c r="C228" s="51"/>
      <c r="D228" s="52"/>
      <c r="E228" s="46">
        <f t="shared" si="11"/>
        <v>0</v>
      </c>
      <c r="F228" s="50"/>
      <c r="G228" s="53"/>
      <c r="H228" s="50"/>
      <c r="I228" s="50"/>
      <c r="J228" s="54"/>
      <c r="K228" s="50"/>
      <c r="L228" s="50"/>
      <c r="M228" s="54"/>
      <c r="N228" s="50"/>
      <c r="O228" s="50"/>
    </row>
    <row r="229" spans="1:15">
      <c r="A229" s="45"/>
      <c r="B229" s="45"/>
      <c r="C229" s="46"/>
      <c r="D229" s="47"/>
      <c r="E229" s="46">
        <f t="shared" si="11"/>
        <v>0</v>
      </c>
      <c r="F229" s="45"/>
      <c r="G229" s="48"/>
      <c r="H229" s="45"/>
      <c r="I229" s="45"/>
      <c r="J229" s="49"/>
      <c r="K229" s="45"/>
      <c r="L229" s="45"/>
      <c r="M229" s="49"/>
      <c r="N229" s="45"/>
      <c r="O229" s="45"/>
    </row>
    <row r="230" spans="1:15">
      <c r="A230" s="50"/>
      <c r="B230" s="50"/>
      <c r="C230" s="51"/>
      <c r="D230" s="52"/>
      <c r="E230" s="46">
        <f t="shared" si="11"/>
        <v>0</v>
      </c>
      <c r="F230" s="50"/>
      <c r="G230" s="53"/>
      <c r="H230" s="50"/>
      <c r="I230" s="50"/>
      <c r="J230" s="54"/>
      <c r="K230" s="50"/>
      <c r="L230" s="50"/>
      <c r="M230" s="54"/>
      <c r="N230" s="50"/>
      <c r="O230" s="50"/>
    </row>
    <row r="231" spans="1:15">
      <c r="A231" s="45"/>
      <c r="B231" s="45"/>
      <c r="C231" s="46"/>
      <c r="D231" s="47"/>
      <c r="E231" s="46">
        <f t="shared" si="11"/>
        <v>0</v>
      </c>
      <c r="F231" s="45"/>
      <c r="G231" s="48"/>
      <c r="H231" s="45"/>
      <c r="I231" s="45"/>
      <c r="J231" s="49"/>
      <c r="K231" s="45"/>
      <c r="L231" s="45"/>
      <c r="M231" s="49"/>
      <c r="N231" s="45"/>
      <c r="O231" s="45"/>
    </row>
    <row r="232" spans="1:15">
      <c r="A232" s="50"/>
      <c r="B232" s="50"/>
      <c r="C232" s="51"/>
      <c r="D232" s="52"/>
      <c r="E232" s="46">
        <f t="shared" si="11"/>
        <v>0</v>
      </c>
      <c r="F232" s="50"/>
      <c r="G232" s="53"/>
      <c r="H232" s="50"/>
      <c r="I232" s="50"/>
      <c r="J232" s="54"/>
      <c r="K232" s="50"/>
      <c r="L232" s="50"/>
      <c r="M232" s="54"/>
      <c r="N232" s="50"/>
      <c r="O232" s="50"/>
    </row>
    <row r="233" spans="1:15">
      <c r="A233" s="45"/>
      <c r="B233" s="45"/>
      <c r="C233" s="46"/>
      <c r="D233" s="47"/>
      <c r="E233" s="46">
        <f t="shared" si="11"/>
        <v>0</v>
      </c>
      <c r="F233" s="45"/>
      <c r="G233" s="48"/>
      <c r="H233" s="45"/>
      <c r="I233" s="45"/>
      <c r="J233" s="49"/>
      <c r="K233" s="45"/>
      <c r="L233" s="45"/>
      <c r="M233" s="49"/>
      <c r="N233" s="45"/>
      <c r="O233" s="45"/>
    </row>
    <row r="234" spans="1:15">
      <c r="A234" s="50"/>
      <c r="B234" s="50"/>
      <c r="C234" s="51"/>
      <c r="D234" s="52"/>
      <c r="E234" s="46">
        <f t="shared" si="11"/>
        <v>0</v>
      </c>
      <c r="F234" s="50"/>
      <c r="G234" s="53"/>
      <c r="H234" s="50"/>
      <c r="I234" s="50"/>
      <c r="J234" s="54"/>
      <c r="K234" s="50"/>
      <c r="L234" s="50"/>
      <c r="M234" s="54"/>
      <c r="N234" s="50"/>
      <c r="O234" s="50"/>
    </row>
    <row r="235" spans="1:15">
      <c r="A235" s="45"/>
      <c r="B235" s="45"/>
      <c r="C235" s="46"/>
      <c r="D235" s="47"/>
      <c r="E235" s="46">
        <f t="shared" si="11"/>
        <v>0</v>
      </c>
      <c r="F235" s="45"/>
      <c r="G235" s="48"/>
      <c r="H235" s="45"/>
      <c r="I235" s="45"/>
      <c r="J235" s="49"/>
      <c r="K235" s="45"/>
      <c r="L235" s="45"/>
      <c r="M235" s="49"/>
      <c r="N235" s="45"/>
      <c r="O235" s="45"/>
    </row>
    <row r="236" spans="1:15">
      <c r="A236" s="50"/>
      <c r="B236" s="50"/>
      <c r="C236" s="51"/>
      <c r="D236" s="52"/>
      <c r="E236" s="46">
        <f t="shared" si="11"/>
        <v>0</v>
      </c>
      <c r="F236" s="50"/>
      <c r="G236" s="53"/>
      <c r="H236" s="50"/>
      <c r="I236" s="50"/>
      <c r="J236" s="54"/>
      <c r="K236" s="50"/>
      <c r="L236" s="50"/>
      <c r="M236" s="54"/>
      <c r="N236" s="50"/>
      <c r="O236" s="50"/>
    </row>
    <row r="237" spans="1:15">
      <c r="A237" s="45"/>
      <c r="B237" s="45"/>
      <c r="C237" s="46"/>
      <c r="D237" s="47"/>
      <c r="E237" s="46">
        <f t="shared" si="11"/>
        <v>0</v>
      </c>
      <c r="F237" s="45"/>
      <c r="G237" s="48"/>
      <c r="H237" s="45"/>
      <c r="I237" s="45"/>
      <c r="J237" s="49"/>
      <c r="K237" s="45"/>
      <c r="L237" s="45"/>
      <c r="M237" s="49"/>
      <c r="N237" s="45"/>
      <c r="O237" s="45"/>
    </row>
    <row r="238" spans="1:15">
      <c r="A238" s="50"/>
      <c r="B238" s="50"/>
      <c r="C238" s="51"/>
      <c r="D238" s="52"/>
      <c r="E238" s="46">
        <f t="shared" si="11"/>
        <v>0</v>
      </c>
      <c r="F238" s="50"/>
      <c r="G238" s="53"/>
      <c r="H238" s="50"/>
      <c r="I238" s="50"/>
      <c r="J238" s="54"/>
      <c r="K238" s="50"/>
      <c r="L238" s="50"/>
      <c r="M238" s="54"/>
      <c r="N238" s="50"/>
      <c r="O238" s="50"/>
    </row>
    <row r="239" spans="1:15">
      <c r="A239" s="45"/>
      <c r="B239" s="45"/>
      <c r="C239" s="46"/>
      <c r="D239" s="47"/>
      <c r="E239" s="46">
        <f t="shared" si="11"/>
        <v>0</v>
      </c>
      <c r="F239" s="45"/>
      <c r="G239" s="48"/>
      <c r="H239" s="45"/>
      <c r="I239" s="45"/>
      <c r="J239" s="49"/>
      <c r="K239" s="45"/>
      <c r="L239" s="45"/>
      <c r="M239" s="49"/>
      <c r="N239" s="45"/>
      <c r="O239" s="45"/>
    </row>
    <row r="240" spans="1:15">
      <c r="A240" s="50"/>
      <c r="B240" s="50"/>
      <c r="C240" s="51"/>
      <c r="D240" s="52"/>
      <c r="E240" s="46">
        <f t="shared" si="11"/>
        <v>0</v>
      </c>
      <c r="F240" s="50"/>
      <c r="G240" s="53"/>
      <c r="H240" s="50"/>
      <c r="I240" s="50"/>
      <c r="J240" s="54"/>
      <c r="K240" s="50"/>
      <c r="L240" s="50"/>
      <c r="M240" s="54"/>
      <c r="N240" s="50"/>
      <c r="O240" s="50"/>
    </row>
    <row r="241" spans="1:15">
      <c r="A241" s="45"/>
      <c r="B241" s="45"/>
      <c r="C241" s="46"/>
      <c r="D241" s="47"/>
      <c r="E241" s="46">
        <f t="shared" si="11"/>
        <v>0</v>
      </c>
      <c r="F241" s="45"/>
      <c r="G241" s="48"/>
      <c r="H241" s="45"/>
      <c r="I241" s="45"/>
      <c r="J241" s="49"/>
      <c r="K241" s="45"/>
      <c r="L241" s="45"/>
      <c r="M241" s="49"/>
      <c r="N241" s="45"/>
      <c r="O241" s="45"/>
    </row>
    <row r="242" spans="1:15">
      <c r="A242" s="50"/>
      <c r="B242" s="50"/>
      <c r="C242" s="51"/>
      <c r="D242" s="52"/>
      <c r="E242" s="46">
        <f t="shared" si="11"/>
        <v>0</v>
      </c>
      <c r="F242" s="50"/>
      <c r="G242" s="53"/>
      <c r="H242" s="50"/>
      <c r="I242" s="50"/>
      <c r="J242" s="54"/>
      <c r="K242" s="50"/>
      <c r="L242" s="50"/>
      <c r="M242" s="54"/>
      <c r="N242" s="50"/>
      <c r="O242" s="50"/>
    </row>
    <row r="243" spans="1:15">
      <c r="A243" s="45"/>
      <c r="B243" s="45"/>
      <c r="C243" s="46"/>
      <c r="D243" s="47"/>
      <c r="E243" s="46">
        <f t="shared" si="11"/>
        <v>0</v>
      </c>
      <c r="F243" s="45"/>
      <c r="G243" s="48"/>
      <c r="H243" s="45"/>
      <c r="I243" s="45"/>
      <c r="J243" s="49"/>
      <c r="K243" s="45"/>
      <c r="L243" s="45"/>
      <c r="M243" s="49"/>
      <c r="N243" s="45"/>
      <c r="O243" s="45"/>
    </row>
    <row r="244" spans="1:15">
      <c r="A244" s="50"/>
      <c r="B244" s="50"/>
      <c r="C244" s="51"/>
      <c r="D244" s="52"/>
      <c r="E244" s="46">
        <f t="shared" si="11"/>
        <v>0</v>
      </c>
      <c r="F244" s="50"/>
      <c r="G244" s="53"/>
      <c r="H244" s="50"/>
      <c r="I244" s="50"/>
      <c r="J244" s="54"/>
      <c r="K244" s="50"/>
      <c r="L244" s="50"/>
      <c r="M244" s="54"/>
      <c r="N244" s="50"/>
      <c r="O244" s="50"/>
    </row>
    <row r="245" spans="1:15">
      <c r="A245" s="45"/>
      <c r="B245" s="45"/>
      <c r="C245" s="46"/>
      <c r="D245" s="47"/>
      <c r="E245" s="46">
        <f t="shared" si="11"/>
        <v>0</v>
      </c>
      <c r="F245" s="45"/>
      <c r="G245" s="48"/>
      <c r="H245" s="45"/>
      <c r="I245" s="45"/>
      <c r="J245" s="49"/>
      <c r="K245" s="45"/>
      <c r="L245" s="45"/>
      <c r="M245" s="49"/>
      <c r="N245" s="45"/>
      <c r="O245" s="45"/>
    </row>
    <row r="246" spans="1:15">
      <c r="A246" s="50"/>
      <c r="B246" s="50"/>
      <c r="C246" s="51"/>
      <c r="D246" s="52"/>
      <c r="E246" s="46">
        <f t="shared" si="11"/>
        <v>0</v>
      </c>
      <c r="F246" s="50"/>
      <c r="G246" s="53"/>
      <c r="H246" s="50"/>
      <c r="I246" s="50"/>
      <c r="J246" s="54"/>
      <c r="K246" s="50"/>
      <c r="L246" s="50"/>
      <c r="M246" s="54"/>
      <c r="N246" s="50"/>
      <c r="O246" s="50"/>
    </row>
    <row r="247" spans="1:15">
      <c r="A247" s="45"/>
      <c r="B247" s="45"/>
      <c r="C247" s="46"/>
      <c r="D247" s="47"/>
      <c r="E247" s="46">
        <f t="shared" si="11"/>
        <v>0</v>
      </c>
      <c r="F247" s="45"/>
      <c r="G247" s="48"/>
      <c r="H247" s="45"/>
      <c r="I247" s="45"/>
      <c r="J247" s="49"/>
      <c r="K247" s="45"/>
      <c r="L247" s="45"/>
      <c r="M247" s="49"/>
      <c r="N247" s="45"/>
      <c r="O247" s="45"/>
    </row>
    <row r="248" spans="1:15">
      <c r="A248" s="50"/>
      <c r="B248" s="50"/>
      <c r="C248" s="51"/>
      <c r="D248" s="52"/>
      <c r="E248" s="46">
        <f t="shared" si="11"/>
        <v>0</v>
      </c>
      <c r="F248" s="50"/>
      <c r="G248" s="53"/>
      <c r="H248" s="50"/>
      <c r="I248" s="50"/>
      <c r="J248" s="54"/>
      <c r="K248" s="50"/>
      <c r="L248" s="50"/>
      <c r="M248" s="54"/>
      <c r="N248" s="50"/>
      <c r="O248" s="50"/>
    </row>
    <row r="249" spans="1:15">
      <c r="A249" s="45"/>
      <c r="B249" s="45"/>
      <c r="C249" s="46"/>
      <c r="D249" s="47"/>
      <c r="E249" s="46">
        <f t="shared" si="11"/>
        <v>0</v>
      </c>
      <c r="F249" s="45"/>
      <c r="G249" s="48"/>
      <c r="H249" s="45"/>
      <c r="I249" s="45"/>
      <c r="J249" s="49"/>
      <c r="K249" s="45"/>
      <c r="L249" s="45"/>
      <c r="M249" s="49"/>
      <c r="N249" s="45"/>
      <c r="O249" s="45"/>
    </row>
    <row r="250" spans="1:15">
      <c r="A250" s="50"/>
      <c r="B250" s="50"/>
      <c r="C250" s="51"/>
      <c r="D250" s="52"/>
      <c r="E250" s="46">
        <f t="shared" si="11"/>
        <v>0</v>
      </c>
      <c r="F250" s="50"/>
      <c r="G250" s="53"/>
      <c r="H250" s="50"/>
      <c r="I250" s="50"/>
      <c r="J250" s="54"/>
      <c r="K250" s="50"/>
      <c r="L250" s="50"/>
      <c r="M250" s="54"/>
      <c r="N250" s="50"/>
      <c r="O250" s="50"/>
    </row>
    <row r="251" spans="1:15">
      <c r="A251" s="45"/>
      <c r="B251" s="45"/>
      <c r="C251" s="46"/>
      <c r="D251" s="47"/>
      <c r="E251" s="46">
        <f t="shared" si="11"/>
        <v>0</v>
      </c>
      <c r="F251" s="45"/>
      <c r="G251" s="48"/>
      <c r="H251" s="45"/>
      <c r="I251" s="45"/>
      <c r="J251" s="49"/>
      <c r="K251" s="45"/>
      <c r="L251" s="45"/>
      <c r="M251" s="49"/>
      <c r="N251" s="45"/>
      <c r="O251" s="45"/>
    </row>
    <row r="252" spans="1:15">
      <c r="A252" s="50"/>
      <c r="B252" s="50"/>
      <c r="C252" s="51"/>
      <c r="D252" s="52"/>
      <c r="E252" s="46">
        <f t="shared" si="11"/>
        <v>0</v>
      </c>
      <c r="F252" s="50"/>
      <c r="G252" s="53"/>
      <c r="H252" s="50"/>
      <c r="I252" s="50"/>
      <c r="J252" s="54"/>
      <c r="K252" s="50"/>
      <c r="L252" s="50"/>
      <c r="M252" s="54"/>
      <c r="N252" s="50"/>
      <c r="O252" s="50"/>
    </row>
    <row r="253" spans="1:15">
      <c r="A253" s="45"/>
      <c r="B253" s="45"/>
      <c r="C253" s="46"/>
      <c r="D253" s="47"/>
      <c r="E253" s="46">
        <f t="shared" si="11"/>
        <v>0</v>
      </c>
      <c r="F253" s="45"/>
      <c r="G253" s="48"/>
      <c r="H253" s="45"/>
      <c r="I253" s="45"/>
      <c r="J253" s="49"/>
      <c r="K253" s="45"/>
      <c r="L253" s="45"/>
      <c r="M253" s="49"/>
      <c r="N253" s="45"/>
      <c r="O253" s="45"/>
    </row>
    <row r="254" spans="1:15">
      <c r="A254" s="50"/>
      <c r="B254" s="50"/>
      <c r="C254" s="51"/>
      <c r="D254" s="52"/>
      <c r="E254" s="46">
        <f t="shared" si="11"/>
        <v>0</v>
      </c>
      <c r="F254" s="50"/>
      <c r="G254" s="53"/>
      <c r="H254" s="50"/>
      <c r="I254" s="50"/>
      <c r="J254" s="54"/>
      <c r="K254" s="50"/>
      <c r="L254" s="50"/>
      <c r="M254" s="54"/>
      <c r="N254" s="50"/>
      <c r="O254" s="50"/>
    </row>
    <row r="255" spans="1:15">
      <c r="A255" s="45"/>
      <c r="B255" s="45"/>
      <c r="C255" s="46"/>
      <c r="D255" s="47"/>
      <c r="E255" s="46">
        <f t="shared" si="11"/>
        <v>0</v>
      </c>
      <c r="F255" s="45"/>
      <c r="G255" s="48"/>
      <c r="H255" s="45"/>
      <c r="I255" s="45"/>
      <c r="J255" s="49"/>
      <c r="K255" s="45"/>
      <c r="L255" s="45"/>
      <c r="M255" s="49"/>
      <c r="N255" s="45"/>
      <c r="O255" s="45"/>
    </row>
    <row r="256" spans="1:15">
      <c r="A256" s="50"/>
      <c r="B256" s="50"/>
      <c r="C256" s="51"/>
      <c r="D256" s="52"/>
      <c r="E256" s="46">
        <f t="shared" si="11"/>
        <v>0</v>
      </c>
      <c r="F256" s="50"/>
      <c r="G256" s="53"/>
      <c r="H256" s="50"/>
      <c r="I256" s="50"/>
      <c r="J256" s="54"/>
      <c r="K256" s="50"/>
      <c r="L256" s="50"/>
      <c r="M256" s="54"/>
      <c r="N256" s="50"/>
      <c r="O256" s="50"/>
    </row>
    <row r="257" spans="1:15">
      <c r="A257" s="45"/>
      <c r="B257" s="45"/>
      <c r="C257" s="46"/>
      <c r="D257" s="47"/>
      <c r="E257" s="46">
        <f t="shared" ref="E257:E288" si="12">D257*C257</f>
        <v>0</v>
      </c>
      <c r="F257" s="45"/>
      <c r="G257" s="48"/>
      <c r="H257" s="45"/>
      <c r="I257" s="45"/>
      <c r="J257" s="49"/>
      <c r="K257" s="45"/>
      <c r="L257" s="45"/>
      <c r="M257" s="49"/>
      <c r="N257" s="45"/>
      <c r="O257" s="45"/>
    </row>
    <row r="258" spans="1:15">
      <c r="A258" s="50"/>
      <c r="B258" s="50"/>
      <c r="C258" s="51"/>
      <c r="D258" s="52"/>
      <c r="E258" s="46">
        <f t="shared" si="12"/>
        <v>0</v>
      </c>
      <c r="F258" s="50"/>
      <c r="G258" s="53"/>
      <c r="H258" s="50"/>
      <c r="I258" s="50"/>
      <c r="J258" s="54"/>
      <c r="K258" s="50"/>
      <c r="L258" s="50"/>
      <c r="M258" s="54"/>
      <c r="N258" s="50"/>
      <c r="O258" s="50"/>
    </row>
    <row r="259" spans="1:15">
      <c r="A259" s="45"/>
      <c r="B259" s="45"/>
      <c r="C259" s="46"/>
      <c r="D259" s="47"/>
      <c r="E259" s="46">
        <f t="shared" si="12"/>
        <v>0</v>
      </c>
      <c r="F259" s="45"/>
      <c r="G259" s="48"/>
      <c r="H259" s="45"/>
      <c r="I259" s="45"/>
      <c r="J259" s="49"/>
      <c r="K259" s="45"/>
      <c r="L259" s="45"/>
      <c r="M259" s="49"/>
      <c r="N259" s="45"/>
      <c r="O259" s="45"/>
    </row>
    <row r="260" spans="1:15">
      <c r="A260" s="50"/>
      <c r="B260" s="50"/>
      <c r="C260" s="51"/>
      <c r="D260" s="52"/>
      <c r="E260" s="46">
        <f t="shared" si="12"/>
        <v>0</v>
      </c>
      <c r="F260" s="50"/>
      <c r="G260" s="53"/>
      <c r="H260" s="50"/>
      <c r="I260" s="50"/>
      <c r="J260" s="54"/>
      <c r="K260" s="50"/>
      <c r="L260" s="50"/>
      <c r="M260" s="54"/>
      <c r="N260" s="50"/>
      <c r="O260" s="50"/>
    </row>
    <row r="261" spans="1:15">
      <c r="A261" s="45"/>
      <c r="B261" s="45"/>
      <c r="C261" s="46"/>
      <c r="D261" s="47"/>
      <c r="E261" s="46">
        <f t="shared" si="12"/>
        <v>0</v>
      </c>
      <c r="F261" s="45"/>
      <c r="G261" s="48"/>
      <c r="H261" s="45"/>
      <c r="I261" s="45"/>
      <c r="J261" s="49"/>
      <c r="K261" s="45"/>
      <c r="L261" s="45"/>
      <c r="M261" s="49"/>
      <c r="N261" s="45"/>
      <c r="O261" s="45"/>
    </row>
    <row r="262" spans="1:15">
      <c r="A262" s="50"/>
      <c r="B262" s="50"/>
      <c r="C262" s="51"/>
      <c r="D262" s="52"/>
      <c r="E262" s="46">
        <f t="shared" si="12"/>
        <v>0</v>
      </c>
      <c r="F262" s="50"/>
      <c r="G262" s="53"/>
      <c r="H262" s="50"/>
      <c r="I262" s="50"/>
      <c r="J262" s="54"/>
      <c r="K262" s="50"/>
      <c r="L262" s="50"/>
      <c r="M262" s="54"/>
      <c r="N262" s="50"/>
      <c r="O262" s="50"/>
    </row>
    <row r="263" spans="1:15">
      <c r="A263" s="45"/>
      <c r="B263" s="45"/>
      <c r="C263" s="46"/>
      <c r="D263" s="47"/>
      <c r="E263" s="46">
        <f t="shared" si="12"/>
        <v>0</v>
      </c>
      <c r="F263" s="45"/>
      <c r="G263" s="48"/>
      <c r="H263" s="45"/>
      <c r="I263" s="45"/>
      <c r="J263" s="49"/>
      <c r="K263" s="45"/>
      <c r="L263" s="45"/>
      <c r="M263" s="49"/>
      <c r="N263" s="45"/>
      <c r="O263" s="45"/>
    </row>
    <row r="264" spans="1:15">
      <c r="A264" s="50"/>
      <c r="B264" s="50"/>
      <c r="C264" s="51"/>
      <c r="D264" s="52"/>
      <c r="E264" s="46">
        <f t="shared" si="12"/>
        <v>0</v>
      </c>
      <c r="F264" s="50"/>
      <c r="G264" s="53"/>
      <c r="H264" s="50"/>
      <c r="I264" s="50"/>
      <c r="J264" s="54"/>
      <c r="K264" s="50"/>
      <c r="L264" s="50"/>
      <c r="M264" s="54"/>
      <c r="N264" s="50"/>
      <c r="O264" s="50"/>
    </row>
    <row r="265" spans="1:15">
      <c r="A265" s="45"/>
      <c r="B265" s="45"/>
      <c r="C265" s="46"/>
      <c r="D265" s="47"/>
      <c r="E265" s="46">
        <f t="shared" si="12"/>
        <v>0</v>
      </c>
      <c r="F265" s="45"/>
      <c r="G265" s="48"/>
      <c r="H265" s="45"/>
      <c r="I265" s="45"/>
      <c r="J265" s="49"/>
      <c r="K265" s="45"/>
      <c r="L265" s="45"/>
      <c r="M265" s="49"/>
      <c r="N265" s="45"/>
      <c r="O265" s="45"/>
    </row>
    <row r="266" spans="1:15">
      <c r="A266" s="50"/>
      <c r="B266" s="50"/>
      <c r="C266" s="51"/>
      <c r="D266" s="52"/>
      <c r="E266" s="46">
        <f t="shared" si="12"/>
        <v>0</v>
      </c>
      <c r="F266" s="50"/>
      <c r="G266" s="53"/>
      <c r="H266" s="50"/>
      <c r="I266" s="50"/>
      <c r="J266" s="54"/>
      <c r="K266" s="50"/>
      <c r="L266" s="50"/>
      <c r="M266" s="54"/>
      <c r="N266" s="50"/>
      <c r="O266" s="50"/>
    </row>
    <row r="267" spans="1:15">
      <c r="A267" s="45"/>
      <c r="B267" s="45"/>
      <c r="C267" s="46"/>
      <c r="D267" s="47"/>
      <c r="E267" s="46">
        <f t="shared" si="12"/>
        <v>0</v>
      </c>
      <c r="F267" s="45"/>
      <c r="G267" s="48"/>
      <c r="H267" s="45"/>
      <c r="I267" s="45"/>
      <c r="J267" s="49"/>
      <c r="K267" s="45"/>
      <c r="L267" s="45"/>
      <c r="M267" s="49"/>
      <c r="N267" s="45"/>
      <c r="O267" s="45"/>
    </row>
    <row r="268" spans="1:15">
      <c r="A268" s="50"/>
      <c r="B268" s="50"/>
      <c r="C268" s="51"/>
      <c r="D268" s="52"/>
      <c r="E268" s="46">
        <f t="shared" si="12"/>
        <v>0</v>
      </c>
      <c r="F268" s="50"/>
      <c r="G268" s="53"/>
      <c r="H268" s="50"/>
      <c r="I268" s="50"/>
      <c r="J268" s="54"/>
      <c r="K268" s="50"/>
      <c r="L268" s="50"/>
      <c r="M268" s="54"/>
      <c r="N268" s="50"/>
      <c r="O268" s="50"/>
    </row>
    <row r="269" spans="1:15">
      <c r="A269" s="45"/>
      <c r="B269" s="45"/>
      <c r="C269" s="46"/>
      <c r="D269" s="47"/>
      <c r="E269" s="46">
        <f t="shared" si="12"/>
        <v>0</v>
      </c>
      <c r="F269" s="45"/>
      <c r="G269" s="48"/>
      <c r="H269" s="45"/>
      <c r="I269" s="45"/>
      <c r="J269" s="49"/>
      <c r="K269" s="45"/>
      <c r="L269" s="45"/>
      <c r="M269" s="49"/>
      <c r="N269" s="45"/>
      <c r="O269" s="45"/>
    </row>
    <row r="270" spans="1:15">
      <c r="A270" s="50"/>
      <c r="B270" s="50"/>
      <c r="C270" s="51"/>
      <c r="D270" s="52"/>
      <c r="E270" s="46">
        <f t="shared" si="12"/>
        <v>0</v>
      </c>
      <c r="F270" s="50"/>
      <c r="G270" s="53"/>
      <c r="H270" s="50"/>
      <c r="I270" s="50"/>
      <c r="J270" s="54"/>
      <c r="K270" s="50"/>
      <c r="L270" s="50"/>
      <c r="M270" s="54"/>
      <c r="N270" s="50"/>
      <c r="O270" s="50"/>
    </row>
    <row r="271" spans="1:15">
      <c r="A271" s="45"/>
      <c r="B271" s="45"/>
      <c r="C271" s="46"/>
      <c r="D271" s="47"/>
      <c r="E271" s="46">
        <f t="shared" si="12"/>
        <v>0</v>
      </c>
      <c r="F271" s="45"/>
      <c r="G271" s="48"/>
      <c r="H271" s="45"/>
      <c r="I271" s="45"/>
      <c r="J271" s="49"/>
      <c r="K271" s="45"/>
      <c r="L271" s="45"/>
      <c r="M271" s="49"/>
      <c r="N271" s="45"/>
      <c r="O271" s="45"/>
    </row>
    <row r="272" spans="1:15">
      <c r="A272" s="50"/>
      <c r="B272" s="50"/>
      <c r="C272" s="51"/>
      <c r="D272" s="52"/>
      <c r="E272" s="46">
        <f t="shared" si="12"/>
        <v>0</v>
      </c>
      <c r="F272" s="50"/>
      <c r="G272" s="53"/>
      <c r="H272" s="50"/>
      <c r="I272" s="50"/>
      <c r="J272" s="54"/>
      <c r="K272" s="50"/>
      <c r="L272" s="50"/>
      <c r="M272" s="54"/>
      <c r="N272" s="50"/>
      <c r="O272" s="50"/>
    </row>
    <row r="273" spans="1:15">
      <c r="A273" s="45"/>
      <c r="B273" s="45"/>
      <c r="C273" s="46"/>
      <c r="D273" s="47"/>
      <c r="E273" s="46">
        <f t="shared" si="12"/>
        <v>0</v>
      </c>
      <c r="F273" s="45"/>
      <c r="G273" s="48"/>
      <c r="H273" s="45"/>
      <c r="I273" s="45"/>
      <c r="J273" s="49"/>
      <c r="K273" s="45"/>
      <c r="L273" s="45"/>
      <c r="M273" s="49"/>
      <c r="N273" s="45"/>
      <c r="O273" s="45"/>
    </row>
    <row r="274" spans="1:15">
      <c r="A274" s="50"/>
      <c r="B274" s="50"/>
      <c r="C274" s="51"/>
      <c r="D274" s="52"/>
      <c r="E274" s="46">
        <f t="shared" si="12"/>
        <v>0</v>
      </c>
      <c r="F274" s="50"/>
      <c r="G274" s="53"/>
      <c r="H274" s="50"/>
      <c r="I274" s="50"/>
      <c r="J274" s="54"/>
      <c r="K274" s="50"/>
      <c r="L274" s="50"/>
      <c r="M274" s="54"/>
      <c r="N274" s="50"/>
      <c r="O274" s="50"/>
    </row>
    <row r="275" spans="1:15">
      <c r="A275" s="45"/>
      <c r="B275" s="45"/>
      <c r="C275" s="46"/>
      <c r="D275" s="47"/>
      <c r="E275" s="46">
        <f t="shared" si="12"/>
        <v>0</v>
      </c>
      <c r="F275" s="45"/>
      <c r="G275" s="48"/>
      <c r="H275" s="45"/>
      <c r="I275" s="45"/>
      <c r="J275" s="49"/>
      <c r="K275" s="45"/>
      <c r="L275" s="45"/>
      <c r="M275" s="49"/>
      <c r="N275" s="45"/>
      <c r="O275" s="45"/>
    </row>
    <row r="276" spans="1:15">
      <c r="A276" s="50"/>
      <c r="B276" s="50"/>
      <c r="C276" s="51"/>
      <c r="D276" s="52"/>
      <c r="E276" s="46">
        <f t="shared" si="12"/>
        <v>0</v>
      </c>
      <c r="F276" s="50"/>
      <c r="G276" s="53"/>
      <c r="H276" s="50"/>
      <c r="I276" s="50"/>
      <c r="J276" s="54"/>
      <c r="K276" s="50"/>
      <c r="L276" s="50"/>
      <c r="M276" s="54"/>
      <c r="N276" s="50"/>
      <c r="O276" s="50"/>
    </row>
    <row r="277" spans="1:15">
      <c r="A277" s="45"/>
      <c r="B277" s="45"/>
      <c r="C277" s="46"/>
      <c r="D277" s="47"/>
      <c r="E277" s="46">
        <f t="shared" si="12"/>
        <v>0</v>
      </c>
      <c r="F277" s="45"/>
      <c r="G277" s="48"/>
      <c r="H277" s="45"/>
      <c r="I277" s="45"/>
      <c r="J277" s="49"/>
      <c r="K277" s="45"/>
      <c r="L277" s="45"/>
      <c r="M277" s="49"/>
      <c r="N277" s="45"/>
      <c r="O277" s="45"/>
    </row>
    <row r="278" spans="1:15">
      <c r="A278" s="50"/>
      <c r="B278" s="50"/>
      <c r="C278" s="51"/>
      <c r="D278" s="52"/>
      <c r="E278" s="46">
        <f t="shared" si="12"/>
        <v>0</v>
      </c>
      <c r="F278" s="50"/>
      <c r="G278" s="53"/>
      <c r="H278" s="50"/>
      <c r="I278" s="50"/>
      <c r="J278" s="54"/>
      <c r="K278" s="50"/>
      <c r="L278" s="50"/>
      <c r="M278" s="54"/>
      <c r="N278" s="50"/>
      <c r="O278" s="50"/>
    </row>
    <row r="279" spans="1:15">
      <c r="A279" s="45"/>
      <c r="B279" s="45"/>
      <c r="C279" s="46"/>
      <c r="D279" s="47"/>
      <c r="E279" s="46">
        <f t="shared" si="12"/>
        <v>0</v>
      </c>
      <c r="F279" s="45"/>
      <c r="G279" s="48"/>
      <c r="H279" s="45"/>
      <c r="I279" s="45"/>
      <c r="J279" s="49"/>
      <c r="K279" s="45"/>
      <c r="L279" s="45"/>
      <c r="M279" s="49"/>
      <c r="N279" s="45"/>
      <c r="O279" s="45"/>
    </row>
    <row r="280" spans="1:15">
      <c r="A280" s="50"/>
      <c r="B280" s="50"/>
      <c r="C280" s="51"/>
      <c r="D280" s="52"/>
      <c r="E280" s="46">
        <f t="shared" si="12"/>
        <v>0</v>
      </c>
      <c r="F280" s="50"/>
      <c r="G280" s="53"/>
      <c r="H280" s="50"/>
      <c r="I280" s="50"/>
      <c r="J280" s="54"/>
      <c r="K280" s="50"/>
      <c r="L280" s="50"/>
      <c r="M280" s="54"/>
      <c r="N280" s="50"/>
      <c r="O280" s="50"/>
    </row>
    <row r="281" spans="1:15">
      <c r="A281" s="45"/>
      <c r="B281" s="45"/>
      <c r="C281" s="46"/>
      <c r="D281" s="47"/>
      <c r="E281" s="46">
        <f t="shared" si="12"/>
        <v>0</v>
      </c>
      <c r="F281" s="45"/>
      <c r="G281" s="48"/>
      <c r="H281" s="45"/>
      <c r="I281" s="45"/>
      <c r="J281" s="49"/>
      <c r="K281" s="45"/>
      <c r="L281" s="45"/>
      <c r="M281" s="49"/>
      <c r="N281" s="45"/>
      <c r="O281" s="45"/>
    </row>
    <row r="282" spans="1:15">
      <c r="A282" s="50"/>
      <c r="B282" s="50"/>
      <c r="C282" s="51"/>
      <c r="D282" s="52"/>
      <c r="E282" s="46">
        <f t="shared" si="12"/>
        <v>0</v>
      </c>
      <c r="F282" s="50"/>
      <c r="G282" s="53"/>
      <c r="H282" s="50"/>
      <c r="I282" s="50"/>
      <c r="J282" s="54"/>
      <c r="K282" s="50"/>
      <c r="L282" s="50"/>
      <c r="M282" s="54"/>
      <c r="N282" s="50"/>
      <c r="O282" s="50"/>
    </row>
    <row r="283" spans="1:15">
      <c r="A283" s="45"/>
      <c r="B283" s="45"/>
      <c r="C283" s="46"/>
      <c r="D283" s="47"/>
      <c r="E283" s="46">
        <f t="shared" si="12"/>
        <v>0</v>
      </c>
      <c r="F283" s="45"/>
      <c r="G283" s="48"/>
      <c r="H283" s="45"/>
      <c r="I283" s="45"/>
      <c r="J283" s="49"/>
      <c r="K283" s="45"/>
      <c r="L283" s="45"/>
      <c r="M283" s="49"/>
      <c r="N283" s="45"/>
      <c r="O283" s="45"/>
    </row>
    <row r="284" spans="1:15">
      <c r="A284" s="50"/>
      <c r="B284" s="50"/>
      <c r="C284" s="51"/>
      <c r="D284" s="52"/>
      <c r="E284" s="46">
        <f t="shared" si="12"/>
        <v>0</v>
      </c>
      <c r="F284" s="50"/>
      <c r="G284" s="53"/>
      <c r="H284" s="50"/>
      <c r="I284" s="50"/>
      <c r="J284" s="54"/>
      <c r="K284" s="50"/>
      <c r="L284" s="50"/>
      <c r="M284" s="54"/>
      <c r="N284" s="50"/>
      <c r="O284" s="50"/>
    </row>
    <row r="285" spans="1:15">
      <c r="A285" s="45"/>
      <c r="B285" s="45"/>
      <c r="C285" s="46"/>
      <c r="D285" s="47"/>
      <c r="E285" s="46">
        <f t="shared" si="12"/>
        <v>0</v>
      </c>
      <c r="F285" s="45"/>
      <c r="G285" s="48"/>
      <c r="H285" s="45"/>
      <c r="I285" s="45"/>
      <c r="J285" s="49"/>
      <c r="K285" s="45"/>
      <c r="L285" s="45"/>
      <c r="M285" s="49"/>
      <c r="N285" s="45"/>
      <c r="O285" s="45"/>
    </row>
    <row r="286" spans="1:15">
      <c r="A286" s="50"/>
      <c r="B286" s="50"/>
      <c r="C286" s="51"/>
      <c r="D286" s="52"/>
      <c r="E286" s="46">
        <f t="shared" si="12"/>
        <v>0</v>
      </c>
      <c r="F286" s="50"/>
      <c r="G286" s="53"/>
      <c r="H286" s="50"/>
      <c r="I286" s="50"/>
      <c r="J286" s="54"/>
      <c r="K286" s="50"/>
      <c r="L286" s="50"/>
      <c r="M286" s="54"/>
      <c r="N286" s="50"/>
      <c r="O286" s="50"/>
    </row>
    <row r="287" spans="1:15">
      <c r="A287" s="45"/>
      <c r="B287" s="45"/>
      <c r="C287" s="46"/>
      <c r="D287" s="47"/>
      <c r="E287" s="46">
        <f t="shared" si="12"/>
        <v>0</v>
      </c>
      <c r="F287" s="45"/>
      <c r="G287" s="48"/>
      <c r="H287" s="45"/>
      <c r="I287" s="45"/>
      <c r="J287" s="49"/>
      <c r="K287" s="45"/>
      <c r="L287" s="45"/>
      <c r="M287" s="49"/>
      <c r="N287" s="45"/>
      <c r="O287" s="45"/>
    </row>
    <row r="288" spans="1:15">
      <c r="A288" s="50"/>
      <c r="B288" s="50"/>
      <c r="C288" s="51"/>
      <c r="D288" s="52"/>
      <c r="E288" s="46">
        <f t="shared" si="12"/>
        <v>0</v>
      </c>
      <c r="F288" s="50"/>
      <c r="G288" s="53"/>
      <c r="H288" s="50"/>
      <c r="I288" s="50"/>
      <c r="J288" s="54"/>
      <c r="K288" s="50"/>
      <c r="L288" s="50"/>
      <c r="M288" s="54"/>
      <c r="N288" s="50"/>
      <c r="O288" s="50"/>
    </row>
    <row r="289" spans="1:15">
      <c r="A289" s="45"/>
      <c r="B289" s="45"/>
      <c r="C289" s="46"/>
      <c r="D289" s="46">
        <f t="shared" ref="D289:D308" si="13">C289*B289</f>
        <v>0</v>
      </c>
      <c r="E289" s="46" t="str">
        <f t="shared" ref="E289:E308" si="14">IF(OR(C289="",D289=""),"",C289*D289)</f>
        <v/>
      </c>
      <c r="F289" s="45"/>
      <c r="G289" s="48"/>
      <c r="H289" s="45"/>
      <c r="I289" s="45"/>
      <c r="J289" s="49"/>
      <c r="K289" s="45"/>
      <c r="L289" s="45"/>
      <c r="M289" s="49"/>
      <c r="N289" s="45"/>
      <c r="O289" s="45"/>
    </row>
    <row r="290" spans="1:15">
      <c r="A290" s="50"/>
      <c r="B290" s="50"/>
      <c r="C290" s="51"/>
      <c r="D290" s="46">
        <f t="shared" si="13"/>
        <v>0</v>
      </c>
      <c r="E290" s="51" t="str">
        <f t="shared" si="14"/>
        <v/>
      </c>
      <c r="F290" s="50"/>
      <c r="G290" s="53"/>
      <c r="H290" s="50"/>
      <c r="I290" s="50"/>
      <c r="J290" s="54"/>
      <c r="K290" s="50"/>
      <c r="L290" s="50"/>
      <c r="M290" s="54"/>
      <c r="N290" s="50"/>
      <c r="O290" s="50"/>
    </row>
    <row r="291" spans="1:15">
      <c r="A291" s="45"/>
      <c r="B291" s="45"/>
      <c r="C291" s="46"/>
      <c r="D291" s="46">
        <f t="shared" si="13"/>
        <v>0</v>
      </c>
      <c r="E291" s="46" t="str">
        <f t="shared" si="14"/>
        <v/>
      </c>
      <c r="F291" s="45"/>
      <c r="G291" s="48"/>
      <c r="H291" s="45"/>
      <c r="I291" s="45"/>
      <c r="J291" s="49"/>
      <c r="K291" s="45"/>
      <c r="L291" s="45"/>
      <c r="M291" s="49"/>
      <c r="N291" s="45"/>
      <c r="O291" s="45"/>
    </row>
    <row r="292" spans="1:15">
      <c r="A292" s="50"/>
      <c r="B292" s="50"/>
      <c r="C292" s="51"/>
      <c r="D292" s="46">
        <f t="shared" si="13"/>
        <v>0</v>
      </c>
      <c r="E292" s="51" t="str">
        <f t="shared" si="14"/>
        <v/>
      </c>
      <c r="F292" s="50"/>
      <c r="G292" s="53"/>
      <c r="H292" s="50"/>
      <c r="I292" s="50"/>
      <c r="J292" s="54"/>
      <c r="K292" s="50"/>
      <c r="L292" s="50"/>
      <c r="M292" s="54"/>
      <c r="N292" s="50"/>
      <c r="O292" s="50"/>
    </row>
    <row r="293" spans="1:15">
      <c r="A293" s="45"/>
      <c r="B293" s="45"/>
      <c r="C293" s="46"/>
      <c r="D293" s="46">
        <f t="shared" si="13"/>
        <v>0</v>
      </c>
      <c r="E293" s="46" t="str">
        <f t="shared" si="14"/>
        <v/>
      </c>
      <c r="F293" s="45"/>
      <c r="G293" s="48"/>
      <c r="H293" s="45"/>
      <c r="I293" s="45"/>
      <c r="J293" s="49"/>
      <c r="K293" s="45"/>
      <c r="L293" s="45"/>
      <c r="M293" s="49"/>
      <c r="N293" s="45"/>
      <c r="O293" s="45"/>
    </row>
    <row r="294" spans="1:15">
      <c r="A294" s="50"/>
      <c r="B294" s="50"/>
      <c r="C294" s="51"/>
      <c r="D294" s="46">
        <f t="shared" si="13"/>
        <v>0</v>
      </c>
      <c r="E294" s="51" t="str">
        <f t="shared" si="14"/>
        <v/>
      </c>
      <c r="F294" s="50"/>
      <c r="G294" s="53"/>
      <c r="H294" s="50"/>
      <c r="I294" s="50"/>
      <c r="J294" s="54"/>
      <c r="K294" s="50"/>
      <c r="L294" s="50"/>
      <c r="M294" s="54"/>
      <c r="N294" s="50"/>
      <c r="O294" s="50"/>
    </row>
    <row r="295" spans="1:15">
      <c r="A295" s="45"/>
      <c r="B295" s="45"/>
      <c r="C295" s="46"/>
      <c r="D295" s="46">
        <f t="shared" si="13"/>
        <v>0</v>
      </c>
      <c r="E295" s="46" t="str">
        <f t="shared" si="14"/>
        <v/>
      </c>
      <c r="F295" s="45"/>
      <c r="G295" s="48"/>
      <c r="H295" s="45"/>
      <c r="I295" s="45"/>
      <c r="J295" s="49"/>
      <c r="K295" s="45"/>
      <c r="L295" s="45"/>
      <c r="M295" s="49"/>
      <c r="N295" s="45"/>
      <c r="O295" s="45"/>
    </row>
    <row r="296" spans="1:15">
      <c r="A296" s="50"/>
      <c r="B296" s="50"/>
      <c r="C296" s="51"/>
      <c r="D296" s="46">
        <f t="shared" si="13"/>
        <v>0</v>
      </c>
      <c r="E296" s="51" t="str">
        <f t="shared" si="14"/>
        <v/>
      </c>
      <c r="F296" s="50"/>
      <c r="G296" s="53"/>
      <c r="H296" s="50"/>
      <c r="I296" s="50"/>
      <c r="J296" s="54"/>
      <c r="K296" s="50"/>
      <c r="L296" s="50"/>
      <c r="M296" s="54"/>
      <c r="N296" s="50"/>
      <c r="O296" s="50"/>
    </row>
    <row r="297" spans="1:15">
      <c r="A297" s="45"/>
      <c r="B297" s="45"/>
      <c r="C297" s="46"/>
      <c r="D297" s="46">
        <f t="shared" si="13"/>
        <v>0</v>
      </c>
      <c r="E297" s="46" t="str">
        <f t="shared" si="14"/>
        <v/>
      </c>
      <c r="F297" s="45"/>
      <c r="G297" s="48"/>
      <c r="H297" s="45"/>
      <c r="I297" s="45"/>
      <c r="J297" s="49"/>
      <c r="K297" s="45"/>
      <c r="L297" s="45"/>
      <c r="M297" s="49"/>
      <c r="N297" s="45"/>
      <c r="O297" s="45"/>
    </row>
    <row r="298" spans="1:15">
      <c r="A298" s="50"/>
      <c r="B298" s="50"/>
      <c r="C298" s="51"/>
      <c r="D298" s="46">
        <f t="shared" si="13"/>
        <v>0</v>
      </c>
      <c r="E298" s="51" t="str">
        <f t="shared" si="14"/>
        <v/>
      </c>
      <c r="F298" s="50"/>
      <c r="G298" s="53"/>
      <c r="H298" s="50"/>
      <c r="I298" s="50"/>
      <c r="J298" s="54"/>
      <c r="K298" s="50"/>
      <c r="L298" s="50"/>
      <c r="M298" s="54"/>
      <c r="N298" s="50"/>
      <c r="O298" s="50"/>
    </row>
    <row r="299" spans="1:15">
      <c r="A299" s="45"/>
      <c r="B299" s="45"/>
      <c r="C299" s="46"/>
      <c r="D299" s="46">
        <f t="shared" si="13"/>
        <v>0</v>
      </c>
      <c r="E299" s="46" t="str">
        <f t="shared" si="14"/>
        <v/>
      </c>
      <c r="F299" s="45"/>
      <c r="G299" s="48"/>
      <c r="H299" s="45"/>
      <c r="I299" s="45"/>
      <c r="J299" s="49"/>
      <c r="K299" s="45"/>
      <c r="L299" s="45"/>
      <c r="M299" s="49"/>
      <c r="N299" s="45"/>
      <c r="O299" s="45"/>
    </row>
    <row r="300" spans="1:15">
      <c r="A300" s="50"/>
      <c r="B300" s="50"/>
      <c r="C300" s="51"/>
      <c r="D300" s="46">
        <f t="shared" si="13"/>
        <v>0</v>
      </c>
      <c r="E300" s="51" t="str">
        <f t="shared" si="14"/>
        <v/>
      </c>
      <c r="F300" s="50"/>
      <c r="G300" s="53"/>
      <c r="H300" s="50"/>
      <c r="I300" s="50"/>
      <c r="J300" s="54"/>
      <c r="K300" s="50"/>
      <c r="L300" s="50"/>
      <c r="M300" s="54"/>
      <c r="N300" s="50"/>
      <c r="O300" s="50"/>
    </row>
    <row r="301" spans="1:15">
      <c r="A301" s="45"/>
      <c r="B301" s="45"/>
      <c r="C301" s="46"/>
      <c r="D301" s="46">
        <f t="shared" si="13"/>
        <v>0</v>
      </c>
      <c r="E301" s="46" t="str">
        <f t="shared" si="14"/>
        <v/>
      </c>
      <c r="F301" s="45"/>
      <c r="G301" s="48"/>
      <c r="H301" s="45"/>
      <c r="I301" s="45"/>
      <c r="J301" s="49"/>
      <c r="K301" s="45"/>
      <c r="L301" s="45"/>
      <c r="M301" s="49"/>
      <c r="N301" s="45"/>
      <c r="O301" s="45"/>
    </row>
    <row r="302" spans="1:15">
      <c r="A302" s="50"/>
      <c r="B302" s="50"/>
      <c r="C302" s="51"/>
      <c r="D302" s="46">
        <f t="shared" si="13"/>
        <v>0</v>
      </c>
      <c r="E302" s="51" t="str">
        <f t="shared" si="14"/>
        <v/>
      </c>
      <c r="F302" s="50"/>
      <c r="G302" s="53"/>
      <c r="H302" s="50"/>
      <c r="I302" s="50"/>
      <c r="J302" s="54"/>
      <c r="K302" s="50"/>
      <c r="L302" s="50"/>
      <c r="M302" s="54"/>
      <c r="N302" s="50"/>
      <c r="O302" s="50"/>
    </row>
    <row r="303" spans="1:15">
      <c r="A303" s="45"/>
      <c r="B303" s="45"/>
      <c r="C303" s="46"/>
      <c r="D303" s="46">
        <f t="shared" si="13"/>
        <v>0</v>
      </c>
      <c r="E303" s="46" t="str">
        <f t="shared" si="14"/>
        <v/>
      </c>
      <c r="F303" s="45"/>
      <c r="G303" s="48"/>
      <c r="H303" s="45"/>
      <c r="I303" s="45"/>
      <c r="J303" s="49"/>
      <c r="K303" s="45"/>
      <c r="L303" s="45"/>
      <c r="M303" s="49"/>
      <c r="N303" s="45"/>
      <c r="O303" s="45"/>
    </row>
    <row r="304" spans="1:15">
      <c r="A304" s="50"/>
      <c r="B304" s="50"/>
      <c r="C304" s="51"/>
      <c r="D304" s="46">
        <f t="shared" si="13"/>
        <v>0</v>
      </c>
      <c r="E304" s="51" t="str">
        <f t="shared" si="14"/>
        <v/>
      </c>
      <c r="F304" s="50"/>
      <c r="G304" s="53"/>
      <c r="H304" s="50"/>
      <c r="I304" s="50"/>
      <c r="J304" s="54"/>
      <c r="K304" s="50"/>
      <c r="L304" s="50"/>
      <c r="M304" s="54"/>
      <c r="N304" s="50"/>
      <c r="O304" s="50"/>
    </row>
    <row r="305" spans="1:15">
      <c r="A305" s="45"/>
      <c r="B305" s="45"/>
      <c r="C305" s="46"/>
      <c r="D305" s="46">
        <f t="shared" si="13"/>
        <v>0</v>
      </c>
      <c r="E305" s="46" t="str">
        <f t="shared" si="14"/>
        <v/>
      </c>
      <c r="F305" s="45"/>
      <c r="G305" s="48"/>
      <c r="H305" s="45"/>
      <c r="I305" s="45"/>
      <c r="J305" s="49"/>
      <c r="K305" s="45"/>
      <c r="L305" s="45"/>
      <c r="M305" s="49"/>
      <c r="N305" s="45"/>
      <c r="O305" s="45"/>
    </row>
    <row r="306" spans="1:15">
      <c r="A306" s="50"/>
      <c r="B306" s="50"/>
      <c r="C306" s="51"/>
      <c r="D306" s="46">
        <f t="shared" si="13"/>
        <v>0</v>
      </c>
      <c r="E306" s="51" t="str">
        <f t="shared" si="14"/>
        <v/>
      </c>
      <c r="F306" s="50"/>
      <c r="G306" s="53"/>
      <c r="H306" s="50"/>
      <c r="I306" s="50"/>
      <c r="J306" s="54"/>
      <c r="K306" s="50"/>
      <c r="L306" s="50"/>
      <c r="M306" s="54"/>
      <c r="N306" s="50"/>
      <c r="O306" s="50"/>
    </row>
    <row r="307" spans="1:15">
      <c r="A307" s="45"/>
      <c r="B307" s="45"/>
      <c r="C307" s="46"/>
      <c r="D307" s="46">
        <f t="shared" si="13"/>
        <v>0</v>
      </c>
      <c r="E307" s="46" t="str">
        <f t="shared" si="14"/>
        <v/>
      </c>
      <c r="F307" s="45"/>
      <c r="G307" s="48"/>
      <c r="H307" s="45"/>
      <c r="I307" s="45"/>
      <c r="J307" s="49"/>
      <c r="K307" s="45"/>
      <c r="L307" s="45"/>
      <c r="M307" s="49"/>
      <c r="N307" s="45"/>
      <c r="O307" s="45"/>
    </row>
    <row r="308" spans="1:15">
      <c r="A308" s="50"/>
      <c r="B308" s="50"/>
      <c r="C308" s="51"/>
      <c r="D308" s="46">
        <f t="shared" si="13"/>
        <v>0</v>
      </c>
      <c r="E308" s="51" t="str">
        <f t="shared" si="14"/>
        <v/>
      </c>
      <c r="F308" s="50"/>
      <c r="G308" s="53"/>
      <c r="H308" s="50"/>
      <c r="I308" s="50"/>
      <c r="J308" s="54"/>
      <c r="K308" s="50"/>
      <c r="L308" s="50"/>
      <c r="M308" s="54"/>
      <c r="N308" s="50"/>
      <c r="O308" s="50"/>
    </row>
    <row r="309" spans="1:15">
      <c r="A309" s="117"/>
      <c r="B309" s="117"/>
      <c r="C309" s="117"/>
      <c r="D309" s="117"/>
      <c r="E309" s="63" t="str">
        <f t="shared" ref="E309:E320" si="15">IF(OR(C309="",D309=""),"",C309*D309)</f>
        <v/>
      </c>
      <c r="F309" s="117"/>
      <c r="G309" s="117"/>
      <c r="H309" s="117"/>
      <c r="I309" s="117"/>
      <c r="J309" s="117"/>
      <c r="K309" s="117"/>
      <c r="L309" s="117"/>
      <c r="M309" s="117"/>
      <c r="N309" s="117"/>
      <c r="O309" s="117"/>
    </row>
    <row r="310" spans="1:15">
      <c r="A310" s="117"/>
      <c r="B310" s="117"/>
      <c r="C310" s="117"/>
      <c r="D310" s="117"/>
      <c r="E310" s="63" t="str">
        <f t="shared" si="15"/>
        <v/>
      </c>
      <c r="F310" s="117"/>
      <c r="G310" s="117"/>
      <c r="H310" s="117"/>
      <c r="I310" s="117"/>
      <c r="J310" s="117"/>
      <c r="K310" s="117"/>
      <c r="L310" s="117"/>
      <c r="M310" s="117"/>
      <c r="N310" s="117"/>
      <c r="O310" s="117"/>
    </row>
    <row r="311" spans="1:15">
      <c r="A311" s="117"/>
      <c r="B311" s="117"/>
      <c r="C311" s="117"/>
      <c r="D311" s="117"/>
      <c r="E311" s="63" t="str">
        <f t="shared" si="15"/>
        <v/>
      </c>
      <c r="F311" s="117"/>
      <c r="G311" s="117"/>
      <c r="H311" s="117"/>
      <c r="I311" s="117"/>
      <c r="J311" s="117"/>
      <c r="K311" s="117"/>
      <c r="L311" s="117"/>
      <c r="M311" s="117"/>
      <c r="N311" s="117"/>
      <c r="O311" s="117"/>
    </row>
    <row r="312" spans="1:15">
      <c r="A312" s="117"/>
      <c r="B312" s="117"/>
      <c r="C312" s="117"/>
      <c r="D312" s="117"/>
      <c r="E312" s="63" t="str">
        <f t="shared" si="15"/>
        <v/>
      </c>
      <c r="F312" s="117"/>
      <c r="G312" s="117"/>
      <c r="H312" s="117"/>
      <c r="I312" s="117"/>
      <c r="J312" s="117"/>
      <c r="K312" s="117"/>
      <c r="L312" s="117"/>
      <c r="M312" s="117"/>
      <c r="N312" s="117"/>
      <c r="O312" s="117"/>
    </row>
    <row r="313" spans="1:15">
      <c r="A313" s="117"/>
      <c r="B313" s="117"/>
      <c r="C313" s="117"/>
      <c r="D313" s="117"/>
      <c r="E313" s="63" t="str">
        <f t="shared" si="15"/>
        <v/>
      </c>
      <c r="F313" s="117"/>
      <c r="G313" s="117"/>
      <c r="H313" s="117"/>
      <c r="I313" s="117"/>
      <c r="J313" s="117"/>
      <c r="K313" s="117"/>
      <c r="L313" s="117"/>
      <c r="M313" s="117"/>
      <c r="N313" s="117"/>
      <c r="O313" s="117"/>
    </row>
    <row r="314" spans="1:15">
      <c r="A314" s="117"/>
      <c r="B314" s="117"/>
      <c r="C314" s="117"/>
      <c r="D314" s="117"/>
      <c r="E314" s="63" t="str">
        <f t="shared" si="15"/>
        <v/>
      </c>
      <c r="F314" s="117"/>
      <c r="G314" s="117"/>
      <c r="H314" s="117"/>
      <c r="I314" s="117"/>
      <c r="J314" s="117"/>
      <c r="K314" s="117"/>
      <c r="L314" s="117"/>
      <c r="M314" s="117"/>
      <c r="N314" s="117"/>
      <c r="O314" s="117"/>
    </row>
    <row r="315" spans="1:15">
      <c r="A315" s="117"/>
      <c r="B315" s="117"/>
      <c r="C315" s="117"/>
      <c r="D315" s="117"/>
      <c r="E315" s="63" t="str">
        <f t="shared" si="15"/>
        <v/>
      </c>
      <c r="F315" s="117"/>
      <c r="G315" s="117"/>
      <c r="H315" s="117"/>
      <c r="I315" s="117"/>
      <c r="J315" s="117"/>
      <c r="K315" s="117"/>
      <c r="L315" s="117"/>
      <c r="M315" s="117"/>
      <c r="N315" s="117"/>
      <c r="O315" s="117"/>
    </row>
    <row r="316" spans="1:15">
      <c r="A316" s="117"/>
      <c r="B316" s="117"/>
      <c r="C316" s="117"/>
      <c r="D316" s="117"/>
      <c r="E316" s="63" t="str">
        <f t="shared" si="15"/>
        <v/>
      </c>
      <c r="F316" s="117"/>
      <c r="G316" s="117"/>
      <c r="H316" s="117"/>
      <c r="I316" s="117"/>
      <c r="J316" s="117"/>
      <c r="K316" s="117"/>
      <c r="L316" s="117"/>
      <c r="M316" s="117"/>
      <c r="N316" s="117"/>
      <c r="O316" s="117"/>
    </row>
    <row r="317" spans="1:15">
      <c r="A317" s="117"/>
      <c r="B317" s="117"/>
      <c r="C317" s="117"/>
      <c r="D317" s="117"/>
      <c r="E317" s="63" t="str">
        <f t="shared" si="15"/>
        <v/>
      </c>
      <c r="F317" s="117"/>
      <c r="G317" s="117"/>
      <c r="H317" s="117"/>
      <c r="I317" s="117"/>
      <c r="J317" s="117"/>
      <c r="K317" s="117"/>
      <c r="L317" s="117"/>
      <c r="M317" s="117"/>
      <c r="N317" s="117"/>
      <c r="O317" s="117"/>
    </row>
    <row r="318" spans="1:15">
      <c r="A318" s="117"/>
      <c r="B318" s="117"/>
      <c r="C318" s="117"/>
      <c r="D318" s="117"/>
      <c r="E318" s="63" t="str">
        <f t="shared" si="15"/>
        <v/>
      </c>
      <c r="F318" s="117"/>
      <c r="G318" s="117"/>
      <c r="H318" s="117"/>
      <c r="I318" s="117"/>
      <c r="J318" s="117"/>
      <c r="K318" s="117"/>
      <c r="L318" s="117"/>
      <c r="M318" s="117"/>
      <c r="N318" s="117"/>
      <c r="O318" s="117"/>
    </row>
    <row r="319" spans="1:15">
      <c r="A319" s="117"/>
      <c r="B319" s="117"/>
      <c r="C319" s="117"/>
      <c r="D319" s="117"/>
      <c r="E319" s="63" t="str">
        <f t="shared" si="15"/>
        <v/>
      </c>
      <c r="F319" s="117"/>
      <c r="G319" s="117"/>
      <c r="H319" s="117"/>
      <c r="I319" s="117"/>
      <c r="J319" s="117"/>
      <c r="K319" s="117"/>
      <c r="L319" s="117"/>
      <c r="M319" s="117"/>
      <c r="N319" s="117"/>
      <c r="O319" s="117"/>
    </row>
    <row r="320" spans="1:15">
      <c r="A320" s="117"/>
      <c r="B320" s="117"/>
      <c r="C320" s="117"/>
      <c r="D320" s="117"/>
      <c r="E320" s="63" t="str">
        <f t="shared" si="15"/>
        <v/>
      </c>
      <c r="F320" s="117"/>
      <c r="G320" s="117"/>
      <c r="H320" s="117"/>
      <c r="I320" s="117"/>
      <c r="J320" s="117"/>
      <c r="K320" s="117"/>
      <c r="L320" s="117"/>
      <c r="M320" s="117"/>
      <c r="N320" s="117"/>
      <c r="O320" s="117"/>
    </row>
    <row r="321" spans="1:15">
      <c r="A321" s="117"/>
      <c r="B321" s="117"/>
      <c r="C321" s="117"/>
      <c r="D321" s="117"/>
      <c r="E321" s="63" t="str">
        <f t="shared" ref="E321:E384" si="16">IF(OR(C321="",D321=""),"",C321*D321)</f>
        <v/>
      </c>
      <c r="F321" s="117"/>
      <c r="G321" s="117"/>
      <c r="H321" s="117"/>
      <c r="I321" s="117"/>
      <c r="J321" s="117"/>
      <c r="K321" s="117"/>
      <c r="L321" s="117"/>
      <c r="M321" s="117"/>
      <c r="N321" s="117"/>
      <c r="O321" s="117"/>
    </row>
    <row r="322" spans="1:15">
      <c r="A322" s="117"/>
      <c r="B322" s="117"/>
      <c r="C322" s="117"/>
      <c r="D322" s="117"/>
      <c r="E322" s="63" t="str">
        <f t="shared" si="16"/>
        <v/>
      </c>
      <c r="F322" s="117"/>
      <c r="G322" s="117"/>
      <c r="H322" s="117"/>
      <c r="I322" s="117"/>
      <c r="J322" s="117"/>
      <c r="K322" s="117"/>
      <c r="L322" s="117"/>
      <c r="M322" s="117"/>
      <c r="N322" s="117"/>
      <c r="O322" s="117"/>
    </row>
    <row r="323" spans="1:15">
      <c r="A323" s="117"/>
      <c r="B323" s="117"/>
      <c r="C323" s="117"/>
      <c r="D323" s="117"/>
      <c r="E323" s="63" t="str">
        <f t="shared" si="16"/>
        <v/>
      </c>
      <c r="F323" s="117"/>
      <c r="G323" s="117"/>
      <c r="H323" s="117"/>
      <c r="I323" s="117"/>
      <c r="J323" s="117"/>
      <c r="K323" s="117"/>
      <c r="L323" s="117"/>
      <c r="M323" s="117"/>
      <c r="N323" s="117"/>
      <c r="O323" s="117"/>
    </row>
    <row r="324" spans="1:15">
      <c r="A324" s="117"/>
      <c r="B324" s="117"/>
      <c r="C324" s="117"/>
      <c r="D324" s="117"/>
      <c r="E324" s="63" t="str">
        <f t="shared" si="16"/>
        <v/>
      </c>
      <c r="F324" s="117"/>
      <c r="G324" s="117"/>
      <c r="H324" s="117"/>
      <c r="I324" s="117"/>
      <c r="J324" s="117"/>
      <c r="K324" s="117"/>
      <c r="L324" s="117"/>
      <c r="M324" s="117"/>
      <c r="N324" s="117"/>
      <c r="O324" s="117"/>
    </row>
    <row r="325" spans="1:15">
      <c r="A325" s="117"/>
      <c r="B325" s="117"/>
      <c r="C325" s="117"/>
      <c r="D325" s="117"/>
      <c r="E325" s="63" t="str">
        <f t="shared" si="16"/>
        <v/>
      </c>
      <c r="F325" s="117"/>
      <c r="G325" s="117"/>
      <c r="H325" s="117"/>
      <c r="I325" s="117"/>
      <c r="J325" s="117"/>
      <c r="K325" s="117"/>
      <c r="L325" s="117"/>
      <c r="M325" s="117"/>
      <c r="N325" s="117"/>
      <c r="O325" s="117"/>
    </row>
    <row r="326" spans="1:15">
      <c r="A326" s="117"/>
      <c r="B326" s="117"/>
      <c r="C326" s="117"/>
      <c r="D326" s="117"/>
      <c r="E326" s="63" t="str">
        <f t="shared" si="16"/>
        <v/>
      </c>
      <c r="F326" s="117"/>
      <c r="G326" s="117"/>
      <c r="H326" s="117"/>
      <c r="I326" s="117"/>
      <c r="J326" s="117"/>
      <c r="K326" s="117"/>
      <c r="L326" s="117"/>
      <c r="M326" s="117"/>
      <c r="N326" s="117"/>
      <c r="O326" s="117"/>
    </row>
    <row r="327" spans="1:15">
      <c r="A327" s="117"/>
      <c r="B327" s="117"/>
      <c r="C327" s="117"/>
      <c r="D327" s="117"/>
      <c r="E327" s="63" t="str">
        <f t="shared" si="16"/>
        <v/>
      </c>
      <c r="F327" s="117"/>
      <c r="G327" s="117"/>
      <c r="H327" s="117"/>
      <c r="I327" s="117"/>
      <c r="J327" s="117"/>
      <c r="K327" s="117"/>
      <c r="L327" s="117"/>
      <c r="M327" s="117"/>
      <c r="N327" s="117"/>
      <c r="O327" s="117"/>
    </row>
    <row r="328" spans="1:15">
      <c r="A328" s="117"/>
      <c r="B328" s="117"/>
      <c r="C328" s="117"/>
      <c r="D328" s="117"/>
      <c r="E328" s="63" t="str">
        <f t="shared" si="16"/>
        <v/>
      </c>
      <c r="F328" s="117"/>
      <c r="G328" s="117"/>
      <c r="H328" s="117"/>
      <c r="I328" s="117"/>
      <c r="J328" s="117"/>
      <c r="K328" s="117"/>
      <c r="L328" s="117"/>
      <c r="M328" s="117"/>
      <c r="N328" s="117"/>
      <c r="O328" s="117"/>
    </row>
    <row r="329" spans="1:15">
      <c r="A329" s="117"/>
      <c r="B329" s="117"/>
      <c r="C329" s="117"/>
      <c r="D329" s="117"/>
      <c r="E329" s="63" t="str">
        <f t="shared" si="16"/>
        <v/>
      </c>
      <c r="F329" s="117"/>
      <c r="G329" s="117"/>
      <c r="H329" s="117"/>
      <c r="I329" s="117"/>
      <c r="J329" s="117"/>
      <c r="K329" s="117"/>
      <c r="L329" s="117"/>
      <c r="M329" s="117"/>
      <c r="N329" s="117"/>
      <c r="O329" s="117"/>
    </row>
    <row r="330" spans="1:15">
      <c r="A330" s="117"/>
      <c r="B330" s="117"/>
      <c r="C330" s="117"/>
      <c r="D330" s="117"/>
      <c r="E330" s="63" t="str">
        <f t="shared" si="16"/>
        <v/>
      </c>
      <c r="F330" s="117"/>
      <c r="G330" s="117"/>
      <c r="H330" s="117"/>
      <c r="I330" s="117"/>
      <c r="J330" s="117"/>
      <c r="K330" s="117"/>
      <c r="L330" s="117"/>
      <c r="M330" s="117"/>
      <c r="N330" s="117"/>
      <c r="O330" s="117"/>
    </row>
    <row r="331" spans="1:15">
      <c r="A331" s="117"/>
      <c r="B331" s="117"/>
      <c r="C331" s="117"/>
      <c r="D331" s="117"/>
      <c r="E331" s="63" t="str">
        <f t="shared" si="16"/>
        <v/>
      </c>
      <c r="F331" s="117"/>
      <c r="G331" s="117"/>
      <c r="H331" s="117"/>
      <c r="I331" s="117"/>
      <c r="J331" s="117"/>
      <c r="K331" s="117"/>
      <c r="L331" s="117"/>
      <c r="M331" s="117"/>
      <c r="N331" s="117"/>
      <c r="O331" s="117"/>
    </row>
    <row r="332" spans="1:15">
      <c r="A332" s="117"/>
      <c r="B332" s="117"/>
      <c r="C332" s="117"/>
      <c r="D332" s="117"/>
      <c r="E332" s="63" t="str">
        <f t="shared" si="16"/>
        <v/>
      </c>
      <c r="F332" s="117"/>
      <c r="G332" s="117"/>
      <c r="H332" s="117"/>
      <c r="I332" s="117"/>
      <c r="J332" s="117"/>
      <c r="K332" s="117"/>
      <c r="L332" s="117"/>
      <c r="M332" s="117"/>
      <c r="N332" s="117"/>
      <c r="O332" s="117"/>
    </row>
    <row r="333" spans="1:15">
      <c r="A333" s="117"/>
      <c r="B333" s="117"/>
      <c r="C333" s="117"/>
      <c r="D333" s="117"/>
      <c r="E333" s="63" t="str">
        <f t="shared" si="16"/>
        <v/>
      </c>
      <c r="F333" s="117"/>
      <c r="G333" s="117"/>
      <c r="H333" s="117"/>
      <c r="I333" s="117"/>
      <c r="J333" s="117"/>
      <c r="K333" s="117"/>
      <c r="L333" s="117"/>
      <c r="M333" s="117"/>
      <c r="N333" s="117"/>
      <c r="O333" s="117"/>
    </row>
    <row r="334" spans="1:15">
      <c r="A334" s="117"/>
      <c r="B334" s="117"/>
      <c r="C334" s="117"/>
      <c r="D334" s="117"/>
      <c r="E334" s="63" t="str">
        <f t="shared" si="16"/>
        <v/>
      </c>
      <c r="F334" s="117"/>
      <c r="G334" s="117"/>
      <c r="H334" s="117"/>
      <c r="I334" s="117"/>
      <c r="J334" s="117"/>
      <c r="K334" s="117"/>
      <c r="L334" s="117"/>
      <c r="M334" s="117"/>
      <c r="N334" s="117"/>
      <c r="O334" s="117"/>
    </row>
    <row r="335" spans="1:15">
      <c r="A335" s="117"/>
      <c r="B335" s="117"/>
      <c r="C335" s="117"/>
      <c r="D335" s="117"/>
      <c r="E335" s="63" t="str">
        <f t="shared" si="16"/>
        <v/>
      </c>
      <c r="F335" s="117"/>
      <c r="G335" s="117"/>
      <c r="H335" s="117"/>
      <c r="I335" s="117"/>
      <c r="J335" s="117"/>
      <c r="K335" s="117"/>
      <c r="L335" s="117"/>
      <c r="M335" s="117"/>
      <c r="N335" s="117"/>
      <c r="O335" s="117"/>
    </row>
    <row r="336" spans="1:15">
      <c r="A336" s="117"/>
      <c r="B336" s="117"/>
      <c r="C336" s="117"/>
      <c r="D336" s="117"/>
      <c r="E336" s="63" t="str">
        <f t="shared" si="16"/>
        <v/>
      </c>
      <c r="F336" s="117"/>
      <c r="G336" s="117"/>
      <c r="H336" s="117"/>
      <c r="I336" s="117"/>
      <c r="J336" s="117"/>
      <c r="K336" s="117"/>
      <c r="L336" s="117"/>
      <c r="M336" s="117"/>
      <c r="N336" s="117"/>
      <c r="O336" s="117"/>
    </row>
    <row r="337" spans="1:15">
      <c r="A337" s="117"/>
      <c r="B337" s="117"/>
      <c r="C337" s="117"/>
      <c r="D337" s="117"/>
      <c r="E337" s="63" t="str">
        <f t="shared" si="16"/>
        <v/>
      </c>
      <c r="F337" s="117"/>
      <c r="G337" s="117"/>
      <c r="H337" s="117"/>
      <c r="I337" s="117"/>
      <c r="J337" s="117"/>
      <c r="K337" s="117"/>
      <c r="L337" s="117"/>
      <c r="M337" s="117"/>
      <c r="N337" s="117"/>
      <c r="O337" s="117"/>
    </row>
    <row r="338" spans="1:15">
      <c r="A338" s="117"/>
      <c r="B338" s="117"/>
      <c r="C338" s="117"/>
      <c r="D338" s="117"/>
      <c r="E338" s="63" t="str">
        <f t="shared" si="16"/>
        <v/>
      </c>
      <c r="F338" s="117"/>
      <c r="G338" s="117"/>
      <c r="H338" s="117"/>
      <c r="I338" s="117"/>
      <c r="J338" s="117"/>
      <c r="K338" s="117"/>
      <c r="L338" s="117"/>
      <c r="M338" s="117"/>
      <c r="N338" s="117"/>
      <c r="O338" s="117"/>
    </row>
    <row r="339" spans="1:15">
      <c r="A339" s="117"/>
      <c r="B339" s="117"/>
      <c r="C339" s="117"/>
      <c r="D339" s="117"/>
      <c r="E339" s="63" t="str">
        <f t="shared" si="16"/>
        <v/>
      </c>
      <c r="F339" s="117"/>
      <c r="G339" s="117"/>
      <c r="H339" s="117"/>
      <c r="I339" s="117"/>
      <c r="J339" s="117"/>
      <c r="K339" s="117"/>
      <c r="L339" s="117"/>
      <c r="M339" s="117"/>
      <c r="N339" s="117"/>
      <c r="O339" s="117"/>
    </row>
    <row r="340" spans="1:15">
      <c r="A340" s="117"/>
      <c r="B340" s="117"/>
      <c r="C340" s="117"/>
      <c r="D340" s="117"/>
      <c r="E340" s="63" t="str">
        <f t="shared" si="16"/>
        <v/>
      </c>
      <c r="F340" s="117"/>
      <c r="G340" s="117"/>
      <c r="H340" s="117"/>
      <c r="I340" s="117"/>
      <c r="J340" s="117"/>
      <c r="K340" s="117"/>
      <c r="L340" s="117"/>
      <c r="M340" s="117"/>
      <c r="N340" s="117"/>
      <c r="O340" s="117"/>
    </row>
    <row r="341" spans="1:15">
      <c r="A341" s="117"/>
      <c r="B341" s="117"/>
      <c r="C341" s="117"/>
      <c r="D341" s="117"/>
      <c r="E341" s="63" t="str">
        <f t="shared" si="16"/>
        <v/>
      </c>
      <c r="F341" s="117"/>
      <c r="G341" s="117"/>
      <c r="H341" s="117"/>
      <c r="I341" s="117"/>
      <c r="J341" s="117"/>
      <c r="K341" s="117"/>
      <c r="L341" s="117"/>
      <c r="M341" s="117"/>
      <c r="N341" s="117"/>
      <c r="O341" s="117"/>
    </row>
    <row r="342" spans="1:15">
      <c r="A342" s="117"/>
      <c r="B342" s="117"/>
      <c r="C342" s="117"/>
      <c r="D342" s="117"/>
      <c r="E342" s="63" t="str">
        <f t="shared" si="16"/>
        <v/>
      </c>
      <c r="F342" s="117"/>
      <c r="G342" s="117"/>
      <c r="H342" s="117"/>
      <c r="I342" s="117"/>
      <c r="J342" s="117"/>
      <c r="K342" s="117"/>
      <c r="L342" s="117"/>
      <c r="M342" s="117"/>
      <c r="N342" s="117"/>
      <c r="O342" s="117"/>
    </row>
    <row r="343" spans="1:15">
      <c r="A343" s="117"/>
      <c r="B343" s="117"/>
      <c r="C343" s="117"/>
      <c r="D343" s="117"/>
      <c r="E343" s="63" t="str">
        <f t="shared" si="16"/>
        <v/>
      </c>
      <c r="F343" s="117"/>
      <c r="G343" s="117"/>
      <c r="H343" s="117"/>
      <c r="I343" s="117"/>
      <c r="J343" s="117"/>
      <c r="K343" s="117"/>
      <c r="L343" s="117"/>
      <c r="M343" s="117"/>
      <c r="N343" s="117"/>
      <c r="O343" s="117"/>
    </row>
    <row r="344" spans="1:15">
      <c r="A344" s="117"/>
      <c r="B344" s="117"/>
      <c r="C344" s="117"/>
      <c r="D344" s="117"/>
      <c r="E344" s="63" t="str">
        <f t="shared" si="16"/>
        <v/>
      </c>
      <c r="F344" s="117"/>
      <c r="G344" s="117"/>
      <c r="H344" s="117"/>
      <c r="I344" s="117"/>
      <c r="J344" s="117"/>
      <c r="K344" s="117"/>
      <c r="L344" s="117"/>
      <c r="M344" s="117"/>
      <c r="N344" s="117"/>
      <c r="O344" s="117"/>
    </row>
    <row r="345" spans="1:15">
      <c r="A345" s="117"/>
      <c r="B345" s="117"/>
      <c r="C345" s="117"/>
      <c r="D345" s="117"/>
      <c r="E345" s="63" t="str">
        <f t="shared" si="16"/>
        <v/>
      </c>
      <c r="F345" s="117"/>
      <c r="G345" s="117"/>
      <c r="H345" s="117"/>
      <c r="I345" s="117"/>
      <c r="J345" s="117"/>
      <c r="K345" s="117"/>
      <c r="L345" s="117"/>
      <c r="M345" s="117"/>
      <c r="N345" s="117"/>
      <c r="O345" s="117"/>
    </row>
    <row r="346" spans="1:15">
      <c r="A346" s="117"/>
      <c r="B346" s="117"/>
      <c r="C346" s="117"/>
      <c r="D346" s="117"/>
      <c r="E346" s="63" t="str">
        <f t="shared" si="16"/>
        <v/>
      </c>
      <c r="F346" s="117"/>
      <c r="G346" s="117"/>
      <c r="H346" s="117"/>
      <c r="I346" s="117"/>
      <c r="J346" s="117"/>
      <c r="K346" s="117"/>
      <c r="L346" s="117"/>
      <c r="M346" s="117"/>
      <c r="N346" s="117"/>
      <c r="O346" s="117"/>
    </row>
    <row r="347" spans="1:15">
      <c r="A347" s="117"/>
      <c r="B347" s="117"/>
      <c r="C347" s="117"/>
      <c r="D347" s="117"/>
      <c r="E347" s="63" t="str">
        <f t="shared" si="16"/>
        <v/>
      </c>
      <c r="F347" s="117"/>
      <c r="G347" s="117"/>
      <c r="H347" s="117"/>
      <c r="I347" s="117"/>
      <c r="J347" s="117"/>
      <c r="K347" s="117"/>
      <c r="L347" s="117"/>
      <c r="M347" s="117"/>
      <c r="N347" s="117"/>
      <c r="O347" s="117"/>
    </row>
    <row r="348" spans="1:15">
      <c r="A348" s="117"/>
      <c r="B348" s="117"/>
      <c r="C348" s="117"/>
      <c r="D348" s="117"/>
      <c r="E348" s="63" t="str">
        <f t="shared" si="16"/>
        <v/>
      </c>
      <c r="F348" s="117"/>
      <c r="G348" s="117"/>
      <c r="H348" s="117"/>
      <c r="I348" s="117"/>
      <c r="J348" s="117"/>
      <c r="K348" s="117"/>
      <c r="L348" s="117"/>
      <c r="M348" s="117"/>
      <c r="N348" s="117"/>
      <c r="O348" s="117"/>
    </row>
    <row r="349" spans="1:15">
      <c r="A349" s="117"/>
      <c r="B349" s="117"/>
      <c r="C349" s="117"/>
      <c r="D349" s="117"/>
      <c r="E349" s="63" t="str">
        <f t="shared" si="16"/>
        <v/>
      </c>
      <c r="F349" s="117"/>
      <c r="G349" s="117"/>
      <c r="H349" s="117"/>
      <c r="I349" s="117"/>
      <c r="J349" s="117"/>
      <c r="K349" s="117"/>
      <c r="L349" s="117"/>
      <c r="M349" s="117"/>
      <c r="N349" s="117"/>
      <c r="O349" s="117"/>
    </row>
    <row r="350" spans="1:15">
      <c r="A350" s="117"/>
      <c r="B350" s="117"/>
      <c r="C350" s="117"/>
      <c r="D350" s="117"/>
      <c r="E350" s="63" t="str">
        <f t="shared" si="16"/>
        <v/>
      </c>
      <c r="F350" s="117"/>
      <c r="G350" s="117"/>
      <c r="H350" s="117"/>
      <c r="I350" s="117"/>
      <c r="J350" s="117"/>
      <c r="K350" s="117"/>
      <c r="L350" s="117"/>
      <c r="M350" s="117"/>
      <c r="N350" s="117"/>
      <c r="O350" s="117"/>
    </row>
    <row r="351" spans="1:15">
      <c r="A351" s="117"/>
      <c r="B351" s="117"/>
      <c r="C351" s="117"/>
      <c r="D351" s="117"/>
      <c r="E351" s="63" t="str">
        <f t="shared" si="16"/>
        <v/>
      </c>
      <c r="F351" s="117"/>
      <c r="G351" s="117"/>
      <c r="H351" s="117"/>
      <c r="I351" s="117"/>
      <c r="J351" s="117"/>
      <c r="K351" s="117"/>
      <c r="L351" s="117"/>
      <c r="M351" s="117"/>
      <c r="N351" s="117"/>
      <c r="O351" s="117"/>
    </row>
    <row r="352" spans="1:15">
      <c r="A352" s="117"/>
      <c r="B352" s="117"/>
      <c r="C352" s="117"/>
      <c r="D352" s="117"/>
      <c r="E352" s="63" t="str">
        <f t="shared" si="16"/>
        <v/>
      </c>
      <c r="F352" s="117"/>
      <c r="G352" s="117"/>
      <c r="H352" s="117"/>
      <c r="I352" s="117"/>
      <c r="J352" s="117"/>
      <c r="K352" s="117"/>
      <c r="L352" s="117"/>
      <c r="M352" s="117"/>
      <c r="N352" s="117"/>
      <c r="O352" s="117"/>
    </row>
    <row r="353" spans="1:15">
      <c r="A353" s="117"/>
      <c r="B353" s="117"/>
      <c r="C353" s="117"/>
      <c r="D353" s="117"/>
      <c r="E353" s="63" t="str">
        <f t="shared" si="16"/>
        <v/>
      </c>
      <c r="F353" s="117"/>
      <c r="G353" s="117"/>
      <c r="H353" s="117"/>
      <c r="I353" s="117"/>
      <c r="J353" s="117"/>
      <c r="K353" s="117"/>
      <c r="L353" s="117"/>
      <c r="M353" s="117"/>
      <c r="N353" s="117"/>
      <c r="O353" s="117"/>
    </row>
    <row r="354" spans="1:15">
      <c r="A354" s="117"/>
      <c r="B354" s="117"/>
      <c r="C354" s="117"/>
      <c r="D354" s="117"/>
      <c r="E354" s="63" t="str">
        <f t="shared" si="16"/>
        <v/>
      </c>
      <c r="F354" s="117"/>
      <c r="G354" s="117"/>
      <c r="H354" s="117"/>
      <c r="I354" s="117"/>
      <c r="J354" s="117"/>
      <c r="K354" s="117"/>
      <c r="L354" s="117"/>
      <c r="M354" s="117"/>
      <c r="N354" s="117"/>
      <c r="O354" s="117"/>
    </row>
    <row r="355" spans="1:15">
      <c r="A355" s="117"/>
      <c r="B355" s="117"/>
      <c r="C355" s="117"/>
      <c r="D355" s="117"/>
      <c r="E355" s="63" t="str">
        <f t="shared" si="16"/>
        <v/>
      </c>
      <c r="F355" s="117"/>
      <c r="G355" s="117"/>
      <c r="H355" s="117"/>
      <c r="I355" s="117"/>
      <c r="J355" s="117"/>
      <c r="K355" s="117"/>
      <c r="L355" s="117"/>
      <c r="M355" s="117"/>
      <c r="N355" s="117"/>
      <c r="O355" s="117"/>
    </row>
    <row r="356" spans="1:15">
      <c r="A356" s="117"/>
      <c r="B356" s="117"/>
      <c r="C356" s="117"/>
      <c r="D356" s="117"/>
      <c r="E356" s="63" t="str">
        <f t="shared" si="16"/>
        <v/>
      </c>
      <c r="F356" s="117"/>
      <c r="G356" s="117"/>
      <c r="H356" s="117"/>
      <c r="I356" s="117"/>
      <c r="J356" s="117"/>
      <c r="K356" s="117"/>
      <c r="L356" s="117"/>
      <c r="M356" s="117"/>
      <c r="N356" s="117"/>
      <c r="O356" s="117"/>
    </row>
    <row r="357" spans="1:15">
      <c r="A357" s="117"/>
      <c r="B357" s="117"/>
      <c r="C357" s="117"/>
      <c r="D357" s="117"/>
      <c r="E357" s="63" t="str">
        <f t="shared" si="16"/>
        <v/>
      </c>
      <c r="F357" s="117"/>
      <c r="G357" s="117"/>
      <c r="H357" s="117"/>
      <c r="I357" s="117"/>
      <c r="J357" s="117"/>
      <c r="K357" s="117"/>
      <c r="L357" s="117"/>
      <c r="M357" s="117"/>
      <c r="N357" s="117"/>
      <c r="O357" s="117"/>
    </row>
    <row r="358" spans="1:15">
      <c r="A358" s="117"/>
      <c r="B358" s="117"/>
      <c r="C358" s="117"/>
      <c r="D358" s="117"/>
      <c r="E358" s="63" t="str">
        <f t="shared" si="16"/>
        <v/>
      </c>
      <c r="F358" s="117"/>
      <c r="G358" s="117"/>
      <c r="H358" s="117"/>
      <c r="I358" s="117"/>
      <c r="J358" s="117"/>
      <c r="K358" s="117"/>
      <c r="L358" s="117"/>
      <c r="M358" s="117"/>
      <c r="N358" s="117"/>
      <c r="O358" s="117"/>
    </row>
    <row r="359" spans="1:15">
      <c r="A359" s="117"/>
      <c r="B359" s="117"/>
      <c r="C359" s="117"/>
      <c r="D359" s="117"/>
      <c r="E359" s="63" t="str">
        <f t="shared" si="16"/>
        <v/>
      </c>
      <c r="F359" s="117"/>
      <c r="G359" s="117"/>
      <c r="H359" s="117"/>
      <c r="I359" s="117"/>
      <c r="J359" s="117"/>
      <c r="K359" s="117"/>
      <c r="L359" s="117"/>
      <c r="M359" s="117"/>
      <c r="N359" s="117"/>
      <c r="O359" s="117"/>
    </row>
    <row r="360" spans="1:15">
      <c r="A360" s="117"/>
      <c r="B360" s="117"/>
      <c r="C360" s="117"/>
      <c r="D360" s="117"/>
      <c r="E360" s="63" t="str">
        <f t="shared" si="16"/>
        <v/>
      </c>
      <c r="F360" s="117"/>
      <c r="G360" s="117"/>
      <c r="H360" s="117"/>
      <c r="I360" s="117"/>
      <c r="J360" s="117"/>
      <c r="K360" s="117"/>
      <c r="L360" s="117"/>
      <c r="M360" s="117"/>
      <c r="N360" s="117"/>
      <c r="O360" s="117"/>
    </row>
    <row r="361" spans="1:15">
      <c r="A361" s="117"/>
      <c r="B361" s="117"/>
      <c r="C361" s="117"/>
      <c r="D361" s="117"/>
      <c r="E361" s="63" t="str">
        <f t="shared" si="16"/>
        <v/>
      </c>
      <c r="F361" s="117"/>
      <c r="G361" s="117"/>
      <c r="H361" s="117"/>
      <c r="I361" s="117"/>
      <c r="J361" s="117"/>
      <c r="K361" s="117"/>
      <c r="L361" s="117"/>
      <c r="M361" s="117"/>
      <c r="N361" s="117"/>
      <c r="O361" s="117"/>
    </row>
    <row r="362" spans="1:15">
      <c r="A362" s="117"/>
      <c r="B362" s="117"/>
      <c r="C362" s="117"/>
      <c r="D362" s="117"/>
      <c r="E362" s="63" t="str">
        <f t="shared" si="16"/>
        <v/>
      </c>
      <c r="F362" s="117"/>
      <c r="G362" s="117"/>
      <c r="H362" s="117"/>
      <c r="I362" s="117"/>
      <c r="J362" s="117"/>
      <c r="K362" s="117"/>
      <c r="L362" s="117"/>
      <c r="M362" s="117"/>
      <c r="N362" s="117"/>
      <c r="O362" s="117"/>
    </row>
    <row r="363" spans="1:15">
      <c r="A363" s="117"/>
      <c r="B363" s="117"/>
      <c r="C363" s="117"/>
      <c r="D363" s="117"/>
      <c r="E363" s="63" t="str">
        <f t="shared" si="16"/>
        <v/>
      </c>
      <c r="F363" s="117"/>
      <c r="G363" s="117"/>
      <c r="H363" s="117"/>
      <c r="I363" s="117"/>
      <c r="J363" s="117"/>
      <c r="K363" s="117"/>
      <c r="L363" s="117"/>
      <c r="M363" s="117"/>
      <c r="N363" s="117"/>
      <c r="O363" s="117"/>
    </row>
    <row r="364" spans="1:15">
      <c r="A364" s="117"/>
      <c r="B364" s="117"/>
      <c r="C364" s="117"/>
      <c r="D364" s="117"/>
      <c r="E364" s="63" t="str">
        <f t="shared" si="16"/>
        <v/>
      </c>
      <c r="F364" s="117"/>
      <c r="G364" s="117"/>
      <c r="H364" s="117"/>
      <c r="I364" s="117"/>
      <c r="J364" s="117"/>
      <c r="K364" s="117"/>
      <c r="L364" s="117"/>
      <c r="M364" s="117"/>
      <c r="N364" s="117"/>
      <c r="O364" s="117"/>
    </row>
    <row r="365" spans="1:15">
      <c r="A365" s="117"/>
      <c r="B365" s="117"/>
      <c r="C365" s="117"/>
      <c r="D365" s="117"/>
      <c r="E365" s="63" t="str">
        <f t="shared" si="16"/>
        <v/>
      </c>
      <c r="F365" s="117"/>
      <c r="G365" s="117"/>
      <c r="H365" s="117"/>
      <c r="I365" s="117"/>
      <c r="J365" s="117"/>
      <c r="K365" s="117"/>
      <c r="L365" s="117"/>
      <c r="M365" s="117"/>
      <c r="N365" s="117"/>
      <c r="O365" s="117"/>
    </row>
    <row r="366" spans="1:15">
      <c r="A366" s="117"/>
      <c r="B366" s="117"/>
      <c r="C366" s="117"/>
      <c r="D366" s="117"/>
      <c r="E366" s="63" t="str">
        <f t="shared" si="16"/>
        <v/>
      </c>
      <c r="F366" s="117"/>
      <c r="G366" s="117"/>
      <c r="H366" s="117"/>
      <c r="I366" s="117"/>
      <c r="J366" s="117"/>
      <c r="K366" s="117"/>
      <c r="L366" s="117"/>
      <c r="M366" s="117"/>
      <c r="N366" s="117"/>
      <c r="O366" s="117"/>
    </row>
    <row r="367" spans="1:15">
      <c r="A367" s="117"/>
      <c r="B367" s="117"/>
      <c r="C367" s="117"/>
      <c r="D367" s="117"/>
      <c r="E367" s="63" t="str">
        <f t="shared" si="16"/>
        <v/>
      </c>
      <c r="F367" s="117"/>
      <c r="G367" s="117"/>
      <c r="H367" s="117"/>
      <c r="I367" s="117"/>
      <c r="J367" s="117"/>
      <c r="K367" s="117"/>
      <c r="L367" s="117"/>
      <c r="M367" s="117"/>
      <c r="N367" s="117"/>
      <c r="O367" s="117"/>
    </row>
    <row r="368" spans="1:15">
      <c r="A368" s="117"/>
      <c r="B368" s="117"/>
      <c r="C368" s="117"/>
      <c r="D368" s="117"/>
      <c r="E368" s="63" t="str">
        <f t="shared" si="16"/>
        <v/>
      </c>
      <c r="F368" s="117"/>
      <c r="G368" s="117"/>
      <c r="H368" s="117"/>
      <c r="I368" s="117"/>
      <c r="J368" s="117"/>
      <c r="K368" s="117"/>
      <c r="L368" s="117"/>
      <c r="M368" s="117"/>
      <c r="N368" s="117"/>
      <c r="O368" s="117"/>
    </row>
    <row r="369" spans="1:15">
      <c r="A369" s="117"/>
      <c r="B369" s="117"/>
      <c r="C369" s="117"/>
      <c r="D369" s="117"/>
      <c r="E369" s="63" t="str">
        <f t="shared" si="16"/>
        <v/>
      </c>
      <c r="F369" s="117"/>
      <c r="G369" s="117"/>
      <c r="H369" s="117"/>
      <c r="I369" s="117"/>
      <c r="J369" s="117"/>
      <c r="K369" s="117"/>
      <c r="L369" s="117"/>
      <c r="M369" s="117"/>
      <c r="N369" s="117"/>
      <c r="O369" s="117"/>
    </row>
    <row r="370" spans="1:15">
      <c r="A370" s="117"/>
      <c r="B370" s="117"/>
      <c r="C370" s="117"/>
      <c r="D370" s="117"/>
      <c r="E370" s="63" t="str">
        <f t="shared" si="16"/>
        <v/>
      </c>
      <c r="F370" s="117"/>
      <c r="G370" s="117"/>
      <c r="H370" s="117"/>
      <c r="I370" s="117"/>
      <c r="J370" s="117"/>
      <c r="K370" s="117"/>
      <c r="L370" s="117"/>
      <c r="M370" s="117"/>
      <c r="N370" s="117"/>
      <c r="O370" s="117"/>
    </row>
    <row r="371" spans="1:15">
      <c r="A371" s="117"/>
      <c r="B371" s="117"/>
      <c r="C371" s="117"/>
      <c r="D371" s="117"/>
      <c r="E371" s="63" t="str">
        <f t="shared" si="16"/>
        <v/>
      </c>
      <c r="F371" s="117"/>
      <c r="G371" s="117"/>
      <c r="H371" s="117"/>
      <c r="I371" s="117"/>
      <c r="J371" s="117"/>
      <c r="K371" s="117"/>
      <c r="L371" s="117"/>
      <c r="M371" s="117"/>
      <c r="N371" s="117"/>
      <c r="O371" s="117"/>
    </row>
    <row r="372" spans="1:15">
      <c r="A372" s="117"/>
      <c r="B372" s="117"/>
      <c r="C372" s="117"/>
      <c r="D372" s="117"/>
      <c r="E372" s="63" t="str">
        <f t="shared" si="16"/>
        <v/>
      </c>
      <c r="F372" s="117"/>
      <c r="G372" s="117"/>
      <c r="H372" s="117"/>
      <c r="I372" s="117"/>
      <c r="J372" s="117"/>
      <c r="K372" s="117"/>
      <c r="L372" s="117"/>
      <c r="M372" s="117"/>
      <c r="N372" s="117"/>
      <c r="O372" s="117"/>
    </row>
    <row r="373" spans="1:15">
      <c r="A373" s="117"/>
      <c r="B373" s="117"/>
      <c r="C373" s="117"/>
      <c r="D373" s="117"/>
      <c r="E373" s="63" t="str">
        <f t="shared" si="16"/>
        <v/>
      </c>
      <c r="F373" s="117"/>
      <c r="G373" s="117"/>
      <c r="H373" s="117"/>
      <c r="I373" s="117"/>
      <c r="J373" s="117"/>
      <c r="K373" s="117"/>
      <c r="L373" s="117"/>
      <c r="M373" s="117"/>
      <c r="N373" s="117"/>
      <c r="O373" s="117"/>
    </row>
    <row r="374" spans="1:15">
      <c r="A374" s="117"/>
      <c r="B374" s="117"/>
      <c r="C374" s="117"/>
      <c r="D374" s="117"/>
      <c r="E374" s="63" t="str">
        <f t="shared" si="16"/>
        <v/>
      </c>
      <c r="F374" s="117"/>
      <c r="G374" s="117"/>
      <c r="H374" s="117"/>
      <c r="I374" s="117"/>
      <c r="J374" s="117"/>
      <c r="K374" s="117"/>
      <c r="L374" s="117"/>
      <c r="M374" s="117"/>
      <c r="N374" s="117"/>
      <c r="O374" s="117"/>
    </row>
    <row r="375" spans="1:15">
      <c r="A375" s="117"/>
      <c r="B375" s="117"/>
      <c r="C375" s="117"/>
      <c r="D375" s="117"/>
      <c r="E375" s="63" t="str">
        <f t="shared" si="16"/>
        <v/>
      </c>
      <c r="F375" s="117"/>
      <c r="G375" s="117"/>
      <c r="H375" s="117"/>
      <c r="I375" s="117"/>
      <c r="J375" s="117"/>
      <c r="K375" s="117"/>
      <c r="L375" s="117"/>
      <c r="M375" s="117"/>
      <c r="N375" s="117"/>
      <c r="O375" s="117"/>
    </row>
    <row r="376" spans="1:15">
      <c r="A376" s="117"/>
      <c r="B376" s="117"/>
      <c r="C376" s="117"/>
      <c r="D376" s="117"/>
      <c r="E376" s="63" t="str">
        <f t="shared" si="16"/>
        <v/>
      </c>
      <c r="F376" s="117"/>
      <c r="G376" s="117"/>
      <c r="H376" s="117"/>
      <c r="I376" s="117"/>
      <c r="J376" s="117"/>
      <c r="K376" s="117"/>
      <c r="L376" s="117"/>
      <c r="M376" s="117"/>
      <c r="N376" s="117"/>
      <c r="O376" s="117"/>
    </row>
    <row r="377" spans="1:15">
      <c r="A377" s="117"/>
      <c r="B377" s="117"/>
      <c r="C377" s="117"/>
      <c r="D377" s="117"/>
      <c r="E377" s="63" t="str">
        <f t="shared" si="16"/>
        <v/>
      </c>
      <c r="F377" s="117"/>
      <c r="G377" s="117"/>
      <c r="H377" s="117"/>
      <c r="I377" s="117"/>
      <c r="J377" s="117"/>
      <c r="K377" s="117"/>
      <c r="L377" s="117"/>
      <c r="M377" s="117"/>
      <c r="N377" s="117"/>
      <c r="O377" s="117"/>
    </row>
    <row r="378" spans="1:15">
      <c r="A378" s="117"/>
      <c r="B378" s="117"/>
      <c r="C378" s="117"/>
      <c r="D378" s="117"/>
      <c r="E378" s="63" t="str">
        <f t="shared" si="16"/>
        <v/>
      </c>
      <c r="F378" s="117"/>
      <c r="G378" s="117"/>
      <c r="H378" s="117"/>
      <c r="I378" s="117"/>
      <c r="J378" s="117"/>
      <c r="K378" s="117"/>
      <c r="L378" s="117"/>
      <c r="M378" s="117"/>
      <c r="N378" s="117"/>
      <c r="O378" s="117"/>
    </row>
    <row r="379" spans="1:15">
      <c r="A379" s="117"/>
      <c r="B379" s="117"/>
      <c r="C379" s="117"/>
      <c r="D379" s="117"/>
      <c r="E379" s="63" t="str">
        <f t="shared" si="16"/>
        <v/>
      </c>
      <c r="F379" s="117"/>
      <c r="G379" s="117"/>
      <c r="H379" s="117"/>
      <c r="I379" s="117"/>
      <c r="J379" s="117"/>
      <c r="K379" s="117"/>
      <c r="L379" s="117"/>
      <c r="M379" s="117"/>
      <c r="N379" s="117"/>
      <c r="O379" s="117"/>
    </row>
    <row r="380" spans="1:15">
      <c r="A380" s="117"/>
      <c r="B380" s="117"/>
      <c r="C380" s="117"/>
      <c r="D380" s="117"/>
      <c r="E380" s="63" t="str">
        <f t="shared" si="16"/>
        <v/>
      </c>
      <c r="F380" s="117"/>
      <c r="G380" s="117"/>
      <c r="H380" s="117"/>
      <c r="I380" s="117"/>
      <c r="J380" s="117"/>
      <c r="K380" s="117"/>
      <c r="L380" s="117"/>
      <c r="M380" s="117"/>
      <c r="N380" s="117"/>
      <c r="O380" s="117"/>
    </row>
    <row r="381" spans="1:15">
      <c r="A381" s="117"/>
      <c r="B381" s="117"/>
      <c r="C381" s="117"/>
      <c r="D381" s="117"/>
      <c r="E381" s="63" t="str">
        <f t="shared" si="16"/>
        <v/>
      </c>
      <c r="F381" s="117"/>
      <c r="G381" s="117"/>
      <c r="H381" s="117"/>
      <c r="I381" s="117"/>
      <c r="J381" s="117"/>
      <c r="K381" s="117"/>
      <c r="L381" s="117"/>
      <c r="M381" s="117"/>
      <c r="N381" s="117"/>
      <c r="O381" s="117"/>
    </row>
    <row r="382" spans="1:15">
      <c r="A382" s="117"/>
      <c r="B382" s="117"/>
      <c r="C382" s="117"/>
      <c r="D382" s="117"/>
      <c r="E382" s="63" t="str">
        <f t="shared" si="16"/>
        <v/>
      </c>
      <c r="F382" s="117"/>
      <c r="G382" s="117"/>
      <c r="H382" s="117"/>
      <c r="I382" s="117"/>
      <c r="J382" s="117"/>
      <c r="K382" s="117"/>
      <c r="L382" s="117"/>
      <c r="M382" s="117"/>
      <c r="N382" s="117"/>
      <c r="O382" s="117"/>
    </row>
    <row r="383" spans="1:15">
      <c r="A383" s="117"/>
      <c r="B383" s="117"/>
      <c r="C383" s="117"/>
      <c r="D383" s="117"/>
      <c r="E383" s="63" t="str">
        <f t="shared" si="16"/>
        <v/>
      </c>
      <c r="F383" s="117"/>
      <c r="G383" s="117"/>
      <c r="H383" s="117"/>
      <c r="I383" s="117"/>
      <c r="J383" s="117"/>
      <c r="K383" s="117"/>
      <c r="L383" s="117"/>
      <c r="M383" s="117"/>
      <c r="N383" s="117"/>
      <c r="O383" s="117"/>
    </row>
    <row r="384" spans="1:15">
      <c r="A384" s="117"/>
      <c r="B384" s="117"/>
      <c r="C384" s="117"/>
      <c r="D384" s="117"/>
      <c r="E384" s="63" t="str">
        <f t="shared" si="16"/>
        <v/>
      </c>
      <c r="F384" s="117"/>
      <c r="G384" s="117"/>
      <c r="H384" s="117"/>
      <c r="I384" s="117"/>
      <c r="J384" s="117"/>
      <c r="K384" s="117"/>
      <c r="L384" s="117"/>
      <c r="M384" s="117"/>
      <c r="N384" s="117"/>
      <c r="O384" s="117"/>
    </row>
    <row r="385" spans="1:15">
      <c r="A385" s="117"/>
      <c r="B385" s="117"/>
      <c r="C385" s="117"/>
      <c r="D385" s="117"/>
      <c r="E385" s="63" t="str">
        <f t="shared" ref="E385:E396" si="17">IF(OR(C385="",D385=""),"",C385*D385)</f>
        <v/>
      </c>
      <c r="F385" s="117"/>
      <c r="G385" s="117"/>
      <c r="H385" s="117"/>
      <c r="I385" s="117"/>
      <c r="J385" s="117"/>
      <c r="K385" s="117"/>
      <c r="L385" s="117"/>
      <c r="M385" s="117"/>
      <c r="N385" s="117"/>
      <c r="O385" s="117"/>
    </row>
    <row r="386" spans="1:15">
      <c r="A386" s="117"/>
      <c r="B386" s="117"/>
      <c r="C386" s="117"/>
      <c r="D386" s="117"/>
      <c r="E386" s="63" t="str">
        <f t="shared" si="17"/>
        <v/>
      </c>
      <c r="F386" s="117"/>
      <c r="G386" s="117"/>
      <c r="H386" s="117"/>
      <c r="I386" s="117"/>
      <c r="J386" s="117"/>
      <c r="K386" s="117"/>
      <c r="L386" s="117"/>
      <c r="M386" s="117"/>
      <c r="N386" s="117"/>
      <c r="O386" s="117"/>
    </row>
    <row r="387" spans="1:15">
      <c r="A387" s="117"/>
      <c r="B387" s="117"/>
      <c r="C387" s="117"/>
      <c r="D387" s="117"/>
      <c r="E387" s="63" t="str">
        <f t="shared" si="17"/>
        <v/>
      </c>
      <c r="F387" s="117"/>
      <c r="G387" s="117"/>
      <c r="H387" s="117"/>
      <c r="I387" s="117"/>
      <c r="J387" s="117"/>
      <c r="K387" s="117"/>
      <c r="L387" s="117"/>
      <c r="M387" s="117"/>
      <c r="N387" s="117"/>
      <c r="O387" s="117"/>
    </row>
    <row r="388" spans="1:15">
      <c r="A388" s="117"/>
      <c r="B388" s="117"/>
      <c r="C388" s="117"/>
      <c r="D388" s="117"/>
      <c r="E388" s="63" t="str">
        <f t="shared" si="17"/>
        <v/>
      </c>
      <c r="F388" s="117"/>
      <c r="G388" s="117"/>
      <c r="H388" s="117"/>
      <c r="I388" s="117"/>
      <c r="J388" s="117"/>
      <c r="K388" s="117"/>
      <c r="L388" s="117"/>
      <c r="M388" s="117"/>
      <c r="N388" s="117"/>
      <c r="O388" s="117"/>
    </row>
    <row r="389" spans="1:15">
      <c r="A389" s="117"/>
      <c r="B389" s="117"/>
      <c r="C389" s="117"/>
      <c r="D389" s="117"/>
      <c r="E389" s="63" t="str">
        <f t="shared" si="17"/>
        <v/>
      </c>
      <c r="F389" s="117"/>
      <c r="G389" s="117"/>
      <c r="H389" s="117"/>
      <c r="I389" s="117"/>
      <c r="J389" s="117"/>
      <c r="K389" s="117"/>
      <c r="L389" s="117"/>
      <c r="M389" s="117"/>
      <c r="N389" s="117"/>
      <c r="O389" s="117"/>
    </row>
    <row r="390" spans="1:15">
      <c r="A390" s="117"/>
      <c r="B390" s="117"/>
      <c r="C390" s="117"/>
      <c r="D390" s="117"/>
      <c r="E390" s="63" t="str">
        <f t="shared" si="17"/>
        <v/>
      </c>
      <c r="F390" s="117"/>
      <c r="G390" s="117"/>
      <c r="H390" s="117"/>
      <c r="I390" s="117"/>
      <c r="J390" s="117"/>
      <c r="K390" s="117"/>
      <c r="L390" s="117"/>
      <c r="M390" s="117"/>
      <c r="N390" s="117"/>
      <c r="O390" s="117"/>
    </row>
    <row r="391" spans="1:15">
      <c r="A391" s="117"/>
      <c r="B391" s="117"/>
      <c r="C391" s="117"/>
      <c r="D391" s="117"/>
      <c r="E391" s="63" t="str">
        <f t="shared" si="17"/>
        <v/>
      </c>
      <c r="F391" s="117"/>
      <c r="G391" s="117"/>
      <c r="H391" s="117"/>
      <c r="I391" s="117"/>
      <c r="J391" s="117"/>
      <c r="K391" s="117"/>
      <c r="L391" s="117"/>
      <c r="M391" s="117"/>
      <c r="N391" s="117"/>
      <c r="O391" s="117"/>
    </row>
    <row r="392" spans="1:15">
      <c r="A392" s="117"/>
      <c r="B392" s="117"/>
      <c r="C392" s="117"/>
      <c r="D392" s="117"/>
      <c r="E392" s="63" t="str">
        <f t="shared" si="17"/>
        <v/>
      </c>
      <c r="F392" s="117"/>
      <c r="G392" s="117"/>
      <c r="H392" s="117"/>
      <c r="I392" s="117"/>
      <c r="J392" s="117"/>
      <c r="K392" s="117"/>
      <c r="L392" s="117"/>
      <c r="M392" s="117"/>
      <c r="N392" s="117"/>
      <c r="O392" s="117"/>
    </row>
    <row r="393" spans="1:15">
      <c r="A393" s="117"/>
      <c r="B393" s="117"/>
      <c r="C393" s="117"/>
      <c r="D393" s="117"/>
      <c r="E393" s="63" t="str">
        <f t="shared" si="17"/>
        <v/>
      </c>
      <c r="F393" s="117"/>
      <c r="G393" s="117"/>
      <c r="H393" s="117"/>
      <c r="I393" s="117"/>
      <c r="J393" s="117"/>
      <c r="K393" s="117"/>
      <c r="L393" s="117"/>
      <c r="M393" s="117"/>
      <c r="N393" s="117"/>
      <c r="O393" s="117"/>
    </row>
    <row r="394" spans="1:15">
      <c r="A394" s="117"/>
      <c r="B394" s="117"/>
      <c r="C394" s="117"/>
      <c r="D394" s="117"/>
      <c r="E394" s="63" t="str">
        <f t="shared" si="17"/>
        <v/>
      </c>
      <c r="F394" s="117"/>
      <c r="G394" s="117"/>
      <c r="H394" s="117"/>
      <c r="I394" s="117"/>
      <c r="J394" s="117"/>
      <c r="K394" s="117"/>
      <c r="L394" s="117"/>
      <c r="M394" s="117"/>
      <c r="N394" s="117"/>
      <c r="O394" s="117"/>
    </row>
    <row r="395" spans="1:15">
      <c r="A395" s="117"/>
      <c r="B395" s="117"/>
      <c r="C395" s="117"/>
      <c r="D395" s="117"/>
      <c r="E395" s="63" t="str">
        <f t="shared" si="17"/>
        <v/>
      </c>
      <c r="F395" s="117"/>
      <c r="G395" s="117"/>
      <c r="H395" s="117"/>
      <c r="I395" s="117"/>
      <c r="J395" s="117"/>
      <c r="K395" s="117"/>
      <c r="L395" s="117"/>
      <c r="M395" s="117"/>
      <c r="N395" s="117"/>
      <c r="O395" s="117"/>
    </row>
    <row r="396" spans="1:15">
      <c r="A396" s="117"/>
      <c r="B396" s="117"/>
      <c r="C396" s="117"/>
      <c r="D396" s="117"/>
      <c r="E396" s="63" t="str">
        <f t="shared" si="17"/>
        <v/>
      </c>
      <c r="F396" s="117"/>
      <c r="G396" s="117"/>
      <c r="H396" s="117"/>
      <c r="I396" s="117"/>
      <c r="J396" s="117"/>
      <c r="K396" s="117"/>
      <c r="L396" s="117"/>
      <c r="M396" s="117"/>
      <c r="N396" s="117"/>
      <c r="O396" s="117"/>
    </row>
    <row r="397" spans="1:15">
      <c r="A397" s="117"/>
      <c r="B397" s="117"/>
      <c r="C397" s="117"/>
      <c r="D397" s="117"/>
      <c r="E397" s="117"/>
      <c r="F397" s="117"/>
      <c r="G397" s="117"/>
      <c r="H397" s="117"/>
      <c r="I397" s="117"/>
      <c r="J397" s="117"/>
      <c r="K397" s="117"/>
      <c r="L397" s="117"/>
      <c r="M397" s="117"/>
      <c r="N397" s="117"/>
      <c r="O397" s="117"/>
    </row>
    <row r="398" spans="1:15">
      <c r="A398" s="117"/>
      <c r="B398" s="117"/>
      <c r="C398" s="117"/>
      <c r="D398" s="117"/>
      <c r="E398" s="117"/>
      <c r="F398" s="117"/>
      <c r="G398" s="117"/>
      <c r="H398" s="117"/>
      <c r="I398" s="117"/>
      <c r="J398" s="117"/>
      <c r="K398" s="117"/>
      <c r="L398" s="117"/>
      <c r="M398" s="117"/>
      <c r="N398" s="117"/>
      <c r="O398" s="117"/>
    </row>
  </sheetData>
  <autoFilter ref="A6:O60" xr:uid="{00000000-0009-0000-0000-000006000000}"/>
  <dataValidations count="7">
    <dataValidation type="list" allowBlank="1" errorTitle="Fora da lista" error="Escolha um item da lista. Para incluir outro, use a aba PARAMETROS." promptTitle="Operação" prompt="Clique na seta e escolha." sqref="B7:B308" xr:uid="{00000000-0002-0000-0600-000000000000}">
      <formula1>ListaOperacoes</formula1>
    </dataValidation>
    <dataValidation type="list" allowBlank="1" errorTitle="Fora da lista" error="Escolha um item da lista. Para incluir outro, use a aba PARAMETROS." promptTitle="Mandato" prompt="Clique na seta e escolha." sqref="F7:F308" xr:uid="{00000000-0002-0000-0600-000001000000}">
      <formula1>ListaMandato</formula1>
    </dataValidation>
    <dataValidation type="list" allowBlank="1" errorTitle="Fora da lista" error="Escolha um item da lista. Para incluir outro, use a aba PARAMETROS." promptTitle="Instituição" prompt="Clique na seta e escolha." sqref="H7:H308" xr:uid="{00000000-0002-0000-0600-000002000000}">
      <formula1>ListaParceiros</formula1>
    </dataValidation>
    <dataValidation type="list" allowBlank="1" errorTitle="Fora da lista" error="Escolha um item da lista. Para incluir outro, use a aba PARAMETROS." promptTitle="Parceiro Indicador" prompt="Clique na seta e escolha." sqref="I7:I308" xr:uid="{00000000-0002-0000-0600-000003000000}">
      <formula1>ListaIndicadores</formula1>
    </dataValidation>
    <dataValidation type="list" allowBlank="1" errorTitle="Fora da lista" error="Escolha um item da lista. Para incluir outro, use a aba PARAMETROS." promptTitle="Fluxo" prompt="Clique na seta e escolha." sqref="K7:K308" xr:uid="{00000000-0002-0000-0600-000004000000}">
      <formula1>ListaFluxo</formula1>
    </dataValidation>
    <dataValidation type="list" allowBlank="1" errorTitle="Fora da lista" error="Escolha um item da lista. Para incluir outro, use a aba PARAMETROS." promptTitle="Status" prompt="Clique na seta e escolha." sqref="L7:L308" xr:uid="{00000000-0002-0000-0600-000005000000}">
      <formula1>ListaStatus</formula1>
    </dataValidation>
    <dataValidation type="list" allowBlank="1" errorTitle="Fora da lista" error="Escolha um item da lista. Para incluir outro, use a aba PARAMETROS." promptTitle="Motivo De Recusa" prompt="Clique na seta e escolha." sqref="N7:N308" xr:uid="{00000000-0002-0000-0600-000006000000}">
      <formula1>ListaMotivos</formula1>
    </dataValidation>
  </dataValidation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400"/>
  <sheetViews>
    <sheetView showGridLines="0" workbookViewId="0">
      <pane ySplit="6" topLeftCell="C7" activePane="bottomLeft" state="frozen"/>
      <selection pane="bottomLeft" activeCell="J9" sqref="J9"/>
    </sheetView>
  </sheetViews>
  <sheetFormatPr defaultRowHeight="14.45"/>
  <cols>
    <col min="1" max="1" width="38.28515625" customWidth="1"/>
    <col min="2" max="2" width="26" customWidth="1"/>
    <col min="3" max="3" width="16" customWidth="1"/>
    <col min="4" max="4" width="9" customWidth="1"/>
    <col min="5" max="6" width="15" customWidth="1"/>
    <col min="7" max="7" width="7" customWidth="1"/>
    <col min="8" max="8" width="27" customWidth="1"/>
    <col min="9" max="9" width="19" customWidth="1"/>
    <col min="10" max="10" width="13" customWidth="1"/>
    <col min="11" max="11" width="18" customWidth="1"/>
    <col min="12" max="12" width="21" customWidth="1"/>
    <col min="13" max="13" width="14" customWidth="1"/>
    <col min="14" max="14" width="32" customWidth="1"/>
    <col min="15" max="15" width="51.140625" customWidth="1"/>
  </cols>
  <sheetData>
    <row r="1" spans="1:15">
      <c r="A1" s="64"/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</row>
    <row r="2" spans="1:15">
      <c r="A2" s="64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</row>
    <row r="3" spans="1:15" ht="24" customHeight="1">
      <c r="A3" s="65"/>
      <c r="B3" s="68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</row>
    <row r="4" spans="1:15" ht="14.1" customHeight="1">
      <c r="A4" s="66"/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</row>
    <row r="5" spans="1:15">
      <c r="A5" s="64"/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</row>
    <row r="6" spans="1:15" ht="27.95" customHeight="1">
      <c r="A6" s="116" t="s">
        <v>0</v>
      </c>
      <c r="B6" s="67" t="s">
        <v>1</v>
      </c>
      <c r="C6" s="67" t="s">
        <v>2</v>
      </c>
      <c r="D6" s="67" t="s">
        <v>3</v>
      </c>
      <c r="E6" s="67" t="s">
        <v>4</v>
      </c>
      <c r="F6" s="67" t="s">
        <v>5</v>
      </c>
      <c r="G6" s="67" t="s">
        <v>6</v>
      </c>
      <c r="H6" s="67" t="s">
        <v>7</v>
      </c>
      <c r="I6" s="67" t="s">
        <v>8</v>
      </c>
      <c r="J6" s="67" t="s">
        <v>9</v>
      </c>
      <c r="K6" s="67" t="s">
        <v>10</v>
      </c>
      <c r="L6" s="67" t="s">
        <v>11</v>
      </c>
      <c r="M6" s="67" t="s">
        <v>12</v>
      </c>
      <c r="N6" s="67" t="s">
        <v>13</v>
      </c>
      <c r="O6" s="67" t="s">
        <v>14</v>
      </c>
    </row>
    <row r="7" spans="1:15">
      <c r="A7" s="103" t="s">
        <v>218</v>
      </c>
      <c r="B7" s="45" t="s">
        <v>219</v>
      </c>
      <c r="C7" s="46">
        <v>8000000</v>
      </c>
      <c r="D7" s="47">
        <v>0.06</v>
      </c>
      <c r="E7" s="46">
        <f t="shared" ref="E7:E68" si="0">D7*C7</f>
        <v>480000</v>
      </c>
      <c r="F7" s="45" t="s">
        <v>17</v>
      </c>
      <c r="G7" s="48">
        <v>1</v>
      </c>
      <c r="H7" s="45" t="s">
        <v>18</v>
      </c>
      <c r="I7" s="45"/>
      <c r="J7" s="49">
        <v>46288</v>
      </c>
      <c r="K7" s="45" t="s">
        <v>137</v>
      </c>
      <c r="L7" s="45" t="s">
        <v>220</v>
      </c>
      <c r="M7" s="49"/>
      <c r="N7" s="45"/>
      <c r="O7" s="45" t="s">
        <v>221</v>
      </c>
    </row>
    <row r="8" spans="1:15">
      <c r="A8" s="50" t="s">
        <v>222</v>
      </c>
      <c r="B8" s="50" t="s">
        <v>25</v>
      </c>
      <c r="C8" s="51">
        <v>10000000</v>
      </c>
      <c r="D8" s="52">
        <v>0.06</v>
      </c>
      <c r="E8" s="46">
        <f t="shared" si="0"/>
        <v>600000</v>
      </c>
      <c r="F8" s="50" t="s">
        <v>17</v>
      </c>
      <c r="G8" s="53">
        <v>1</v>
      </c>
      <c r="H8" s="50" t="s">
        <v>18</v>
      </c>
      <c r="I8" s="50"/>
      <c r="J8" s="54">
        <v>46288</v>
      </c>
      <c r="K8" s="50" t="s">
        <v>134</v>
      </c>
      <c r="L8" s="50" t="s">
        <v>21</v>
      </c>
      <c r="M8" s="54"/>
      <c r="N8" s="50"/>
      <c r="O8" s="50"/>
    </row>
    <row r="9" spans="1:15">
      <c r="A9" s="45"/>
      <c r="B9" s="45"/>
      <c r="C9" s="46"/>
      <c r="D9" s="47"/>
      <c r="E9" s="46">
        <f t="shared" si="0"/>
        <v>0</v>
      </c>
      <c r="F9" s="45"/>
      <c r="G9" s="48"/>
      <c r="H9" s="45"/>
      <c r="I9" s="45"/>
      <c r="J9" s="49"/>
      <c r="K9" s="45"/>
      <c r="L9" s="45"/>
      <c r="M9" s="49"/>
      <c r="N9" s="45"/>
      <c r="O9" s="45"/>
    </row>
    <row r="10" spans="1:15">
      <c r="A10" s="50"/>
      <c r="B10" s="50"/>
      <c r="C10" s="51"/>
      <c r="D10" s="52"/>
      <c r="E10" s="46">
        <f t="shared" si="0"/>
        <v>0</v>
      </c>
      <c r="F10" s="50"/>
      <c r="G10" s="53"/>
      <c r="H10" s="50"/>
      <c r="I10" s="50"/>
      <c r="J10" s="54"/>
      <c r="K10" s="50"/>
      <c r="L10" s="50"/>
      <c r="M10" s="54"/>
      <c r="N10" s="50"/>
      <c r="O10" s="50"/>
    </row>
    <row r="11" spans="1:15">
      <c r="A11" s="45"/>
      <c r="B11" s="45"/>
      <c r="C11" s="46"/>
      <c r="D11" s="47"/>
      <c r="E11" s="46">
        <f t="shared" si="0"/>
        <v>0</v>
      </c>
      <c r="F11" s="45"/>
      <c r="G11" s="48"/>
      <c r="H11" s="45"/>
      <c r="I11" s="45"/>
      <c r="J11" s="49"/>
      <c r="K11" s="45"/>
      <c r="L11" s="45"/>
      <c r="M11" s="49"/>
      <c r="N11" s="45"/>
      <c r="O11" s="45"/>
    </row>
    <row r="12" spans="1:15">
      <c r="A12" s="50"/>
      <c r="B12" s="50"/>
      <c r="C12" s="51"/>
      <c r="D12" s="52"/>
      <c r="E12" s="46">
        <f t="shared" si="0"/>
        <v>0</v>
      </c>
      <c r="F12" s="50"/>
      <c r="G12" s="53"/>
      <c r="H12" s="50"/>
      <c r="I12" s="54"/>
      <c r="J12" s="117"/>
      <c r="K12" s="50"/>
      <c r="L12" s="117"/>
      <c r="M12" s="50"/>
      <c r="N12" s="50"/>
      <c r="O12" s="50"/>
    </row>
    <row r="13" spans="1:15">
      <c r="A13" s="45"/>
      <c r="B13" s="45"/>
      <c r="C13" s="46"/>
      <c r="D13" s="47"/>
      <c r="E13" s="46">
        <f t="shared" si="0"/>
        <v>0</v>
      </c>
      <c r="F13" s="45"/>
      <c r="G13" s="48"/>
      <c r="H13" s="45"/>
      <c r="I13" s="45"/>
      <c r="J13" s="49"/>
      <c r="K13" s="45"/>
      <c r="L13" s="45"/>
      <c r="M13" s="49"/>
      <c r="N13" s="45"/>
      <c r="O13" s="45"/>
    </row>
    <row r="14" spans="1:15">
      <c r="A14" s="50"/>
      <c r="B14" s="50"/>
      <c r="C14" s="51"/>
      <c r="D14" s="52"/>
      <c r="E14" s="46">
        <f t="shared" si="0"/>
        <v>0</v>
      </c>
      <c r="F14" s="50"/>
      <c r="G14" s="53"/>
      <c r="H14" s="50"/>
      <c r="I14" s="50"/>
      <c r="J14" s="54"/>
      <c r="K14" s="50"/>
      <c r="L14" s="50"/>
      <c r="M14" s="54"/>
      <c r="N14" s="50"/>
      <c r="O14" s="50"/>
    </row>
    <row r="15" spans="1:15">
      <c r="A15" s="45"/>
      <c r="B15" s="45"/>
      <c r="C15" s="46"/>
      <c r="D15" s="47"/>
      <c r="E15" s="46">
        <f t="shared" si="0"/>
        <v>0</v>
      </c>
      <c r="F15" s="45"/>
      <c r="G15" s="48"/>
      <c r="H15" s="45"/>
      <c r="I15" s="45"/>
      <c r="J15" s="49"/>
      <c r="K15" s="45"/>
      <c r="L15" s="45"/>
      <c r="M15" s="49"/>
      <c r="N15" s="45"/>
      <c r="O15" s="45"/>
    </row>
    <row r="16" spans="1:15">
      <c r="A16" s="50"/>
      <c r="B16" s="50"/>
      <c r="C16" s="51"/>
      <c r="D16" s="52"/>
      <c r="E16" s="46">
        <f t="shared" si="0"/>
        <v>0</v>
      </c>
      <c r="F16" s="50"/>
      <c r="G16" s="53"/>
      <c r="H16" s="50"/>
      <c r="I16" s="50"/>
      <c r="J16" s="54"/>
      <c r="K16" s="50"/>
      <c r="L16" s="50"/>
      <c r="M16" s="54"/>
      <c r="N16" s="50"/>
      <c r="O16" s="50"/>
    </row>
    <row r="17" spans="1:15">
      <c r="A17" s="45"/>
      <c r="B17" s="45"/>
      <c r="C17" s="46"/>
      <c r="D17" s="47"/>
      <c r="E17" s="46">
        <f t="shared" si="0"/>
        <v>0</v>
      </c>
      <c r="F17" s="45"/>
      <c r="G17" s="48"/>
      <c r="H17" s="45"/>
      <c r="I17" s="45"/>
      <c r="J17" s="49"/>
      <c r="K17" s="45"/>
      <c r="L17" s="45"/>
      <c r="M17" s="49"/>
      <c r="N17" s="45"/>
      <c r="O17" s="45"/>
    </row>
    <row r="18" spans="1:15">
      <c r="A18" s="50"/>
      <c r="B18" s="50"/>
      <c r="C18" s="51"/>
      <c r="D18" s="52"/>
      <c r="E18" s="46">
        <f t="shared" si="0"/>
        <v>0</v>
      </c>
      <c r="F18" s="50"/>
      <c r="G18" s="53"/>
      <c r="H18" s="50"/>
      <c r="I18" s="50"/>
      <c r="J18" s="54"/>
      <c r="K18" s="50"/>
      <c r="L18" s="50"/>
      <c r="M18" s="54"/>
      <c r="N18" s="50"/>
      <c r="O18" s="50"/>
    </row>
    <row r="19" spans="1:15">
      <c r="A19" s="45"/>
      <c r="B19" s="45"/>
      <c r="C19" s="46"/>
      <c r="D19" s="47"/>
      <c r="E19" s="46">
        <f t="shared" si="0"/>
        <v>0</v>
      </c>
      <c r="F19" s="45"/>
      <c r="G19" s="48"/>
      <c r="H19" s="45"/>
      <c r="I19" s="45"/>
      <c r="J19" s="49"/>
      <c r="K19" s="45"/>
      <c r="L19" s="45"/>
      <c r="M19" s="49"/>
      <c r="N19" s="45"/>
      <c r="O19" s="45"/>
    </row>
    <row r="20" spans="1:15">
      <c r="A20" s="50"/>
      <c r="B20" s="50"/>
      <c r="C20" s="51"/>
      <c r="D20" s="52"/>
      <c r="E20" s="46">
        <f t="shared" si="0"/>
        <v>0</v>
      </c>
      <c r="F20" s="50"/>
      <c r="G20" s="53"/>
      <c r="H20" s="50"/>
      <c r="I20" s="50"/>
      <c r="J20" s="54"/>
      <c r="K20" s="50"/>
      <c r="L20" s="50"/>
      <c r="M20" s="54"/>
      <c r="N20" s="50"/>
      <c r="O20" s="50"/>
    </row>
    <row r="21" spans="1:15">
      <c r="A21" s="45"/>
      <c r="B21" s="45"/>
      <c r="C21" s="46"/>
      <c r="D21" s="47"/>
      <c r="E21" s="46">
        <f t="shared" si="0"/>
        <v>0</v>
      </c>
      <c r="F21" s="45"/>
      <c r="G21" s="48"/>
      <c r="H21" s="45"/>
      <c r="I21" s="45"/>
      <c r="J21" s="49"/>
      <c r="K21" s="45"/>
      <c r="L21" s="45"/>
      <c r="M21" s="49"/>
      <c r="N21" s="45"/>
      <c r="O21" s="45"/>
    </row>
    <row r="22" spans="1:15">
      <c r="A22" s="50"/>
      <c r="B22" s="50"/>
      <c r="C22" s="51"/>
      <c r="D22" s="52"/>
      <c r="E22" s="46">
        <f t="shared" si="0"/>
        <v>0</v>
      </c>
      <c r="F22" s="50"/>
      <c r="G22" s="53"/>
      <c r="H22" s="50"/>
      <c r="I22" s="50"/>
      <c r="J22" s="54"/>
      <c r="K22" s="50"/>
      <c r="L22" s="50"/>
      <c r="M22" s="54"/>
      <c r="N22" s="50"/>
      <c r="O22" s="50"/>
    </row>
    <row r="23" spans="1:15">
      <c r="A23" s="45"/>
      <c r="B23" s="45"/>
      <c r="C23" s="46"/>
      <c r="D23" s="47"/>
      <c r="E23" s="46">
        <f t="shared" si="0"/>
        <v>0</v>
      </c>
      <c r="F23" s="45"/>
      <c r="G23" s="48"/>
      <c r="H23" s="45"/>
      <c r="I23" s="45"/>
      <c r="J23" s="49"/>
      <c r="K23" s="45"/>
      <c r="L23" s="45"/>
      <c r="M23" s="49"/>
      <c r="N23" s="45"/>
      <c r="O23" s="45"/>
    </row>
    <row r="24" spans="1:15">
      <c r="A24" s="50"/>
      <c r="B24" s="50"/>
      <c r="C24" s="51"/>
      <c r="D24" s="52"/>
      <c r="E24" s="46">
        <f t="shared" si="0"/>
        <v>0</v>
      </c>
      <c r="F24" s="50"/>
      <c r="G24" s="53"/>
      <c r="H24" s="50"/>
      <c r="I24" s="50"/>
      <c r="J24" s="54"/>
      <c r="K24" s="50"/>
      <c r="L24" s="50"/>
      <c r="M24" s="54"/>
      <c r="N24" s="50"/>
      <c r="O24" s="50"/>
    </row>
    <row r="25" spans="1:15">
      <c r="A25" s="45"/>
      <c r="B25" s="45"/>
      <c r="C25" s="46"/>
      <c r="D25" s="47"/>
      <c r="E25" s="46">
        <f t="shared" si="0"/>
        <v>0</v>
      </c>
      <c r="F25" s="45"/>
      <c r="G25" s="48"/>
      <c r="H25" s="45"/>
      <c r="I25" s="45"/>
      <c r="J25" s="49"/>
      <c r="K25" s="45"/>
      <c r="L25" s="45"/>
      <c r="M25" s="49"/>
      <c r="N25" s="45"/>
      <c r="O25" s="45"/>
    </row>
    <row r="26" spans="1:15">
      <c r="A26" s="50"/>
      <c r="B26" s="50"/>
      <c r="C26" s="51"/>
      <c r="D26" s="52"/>
      <c r="E26" s="46">
        <f t="shared" si="0"/>
        <v>0</v>
      </c>
      <c r="F26" s="50"/>
      <c r="G26" s="53"/>
      <c r="H26" s="50"/>
      <c r="I26" s="50"/>
      <c r="J26" s="54"/>
      <c r="K26" s="50"/>
      <c r="L26" s="50"/>
      <c r="M26" s="54"/>
      <c r="N26" s="50"/>
      <c r="O26" s="50"/>
    </row>
    <row r="27" spans="1:15">
      <c r="A27" s="45"/>
      <c r="B27" s="45"/>
      <c r="C27" s="46"/>
      <c r="D27" s="47"/>
      <c r="E27" s="46">
        <f t="shared" si="0"/>
        <v>0</v>
      </c>
      <c r="F27" s="45"/>
      <c r="G27" s="48"/>
      <c r="H27" s="45"/>
      <c r="I27" s="45"/>
      <c r="J27" s="49"/>
      <c r="K27" s="45"/>
      <c r="L27" s="45"/>
      <c r="M27" s="49"/>
      <c r="N27" s="45"/>
      <c r="O27" s="45"/>
    </row>
    <row r="28" spans="1:15">
      <c r="A28" s="50"/>
      <c r="B28" s="50"/>
      <c r="C28" s="51"/>
      <c r="D28" s="52"/>
      <c r="E28" s="46">
        <f t="shared" si="0"/>
        <v>0</v>
      </c>
      <c r="F28" s="50"/>
      <c r="G28" s="53"/>
      <c r="H28" s="50"/>
      <c r="I28" s="50"/>
      <c r="J28" s="54"/>
      <c r="K28" s="50"/>
      <c r="L28" s="50"/>
      <c r="M28" s="54"/>
      <c r="N28" s="50"/>
      <c r="O28" s="50"/>
    </row>
    <row r="29" spans="1:15">
      <c r="A29" s="45"/>
      <c r="B29" s="45"/>
      <c r="C29" s="46"/>
      <c r="D29" s="47"/>
      <c r="E29" s="46">
        <f t="shared" si="0"/>
        <v>0</v>
      </c>
      <c r="F29" s="45"/>
      <c r="G29" s="48"/>
      <c r="H29" s="45"/>
      <c r="I29" s="45"/>
      <c r="J29" s="49"/>
      <c r="K29" s="45"/>
      <c r="L29" s="45"/>
      <c r="M29" s="49"/>
      <c r="N29" s="45"/>
      <c r="O29" s="45"/>
    </row>
    <row r="30" spans="1:15">
      <c r="A30" s="50"/>
      <c r="B30" s="50"/>
      <c r="C30" s="51"/>
      <c r="D30" s="52"/>
      <c r="E30" s="46">
        <f t="shared" si="0"/>
        <v>0</v>
      </c>
      <c r="F30" s="50"/>
      <c r="G30" s="53"/>
      <c r="H30" s="50"/>
      <c r="I30" s="50"/>
      <c r="J30" s="54"/>
      <c r="K30" s="50"/>
      <c r="L30" s="50"/>
      <c r="M30" s="54"/>
      <c r="N30" s="50"/>
      <c r="O30" s="50"/>
    </row>
    <row r="31" spans="1:15">
      <c r="A31" s="45"/>
      <c r="B31" s="45"/>
      <c r="C31" s="46"/>
      <c r="D31" s="47"/>
      <c r="E31" s="46">
        <f t="shared" si="0"/>
        <v>0</v>
      </c>
      <c r="F31" s="45"/>
      <c r="G31" s="48"/>
      <c r="H31" s="45"/>
      <c r="I31" s="45"/>
      <c r="J31" s="49"/>
      <c r="K31" s="45"/>
      <c r="L31" s="45"/>
      <c r="M31" s="49"/>
      <c r="N31" s="45"/>
      <c r="O31" s="45"/>
    </row>
    <row r="32" spans="1:15">
      <c r="A32" s="50"/>
      <c r="B32" s="50"/>
      <c r="C32" s="51"/>
      <c r="D32" s="52"/>
      <c r="E32" s="46">
        <f t="shared" si="0"/>
        <v>0</v>
      </c>
      <c r="F32" s="50"/>
      <c r="G32" s="53"/>
      <c r="H32" s="50"/>
      <c r="I32" s="50"/>
      <c r="J32" s="54"/>
      <c r="K32" s="50"/>
      <c r="L32" s="50"/>
      <c r="M32" s="54"/>
      <c r="N32" s="50"/>
      <c r="O32" s="50"/>
    </row>
    <row r="33" spans="1:15">
      <c r="A33" s="45"/>
      <c r="B33" s="45"/>
      <c r="C33" s="46"/>
      <c r="D33" s="47"/>
      <c r="E33" s="46">
        <f t="shared" si="0"/>
        <v>0</v>
      </c>
      <c r="F33" s="45"/>
      <c r="G33" s="48"/>
      <c r="H33" s="45"/>
      <c r="I33" s="45"/>
      <c r="J33" s="49"/>
      <c r="K33" s="45"/>
      <c r="L33" s="45"/>
      <c r="M33" s="49"/>
      <c r="N33" s="45"/>
      <c r="O33" s="45"/>
    </row>
    <row r="34" spans="1:15">
      <c r="A34" s="50"/>
      <c r="B34" s="50"/>
      <c r="C34" s="51"/>
      <c r="D34" s="52"/>
      <c r="E34" s="46">
        <f t="shared" si="0"/>
        <v>0</v>
      </c>
      <c r="F34" s="50"/>
      <c r="G34" s="53"/>
      <c r="H34" s="50"/>
      <c r="I34" s="50"/>
      <c r="J34" s="54"/>
      <c r="K34" s="50"/>
      <c r="L34" s="50"/>
      <c r="M34" s="54"/>
      <c r="N34" s="50"/>
      <c r="O34" s="50"/>
    </row>
    <row r="35" spans="1:15">
      <c r="A35" s="45"/>
      <c r="B35" s="45"/>
      <c r="C35" s="46"/>
      <c r="D35" s="47"/>
      <c r="E35" s="46">
        <f t="shared" si="0"/>
        <v>0</v>
      </c>
      <c r="F35" s="45"/>
      <c r="G35" s="48"/>
      <c r="H35" s="45"/>
      <c r="I35" s="45"/>
      <c r="J35" s="49"/>
      <c r="K35" s="45"/>
      <c r="L35" s="45"/>
      <c r="M35" s="49"/>
      <c r="N35" s="45"/>
      <c r="O35" s="45"/>
    </row>
    <row r="36" spans="1:15">
      <c r="A36" s="50"/>
      <c r="B36" s="50"/>
      <c r="C36" s="51"/>
      <c r="D36" s="52"/>
      <c r="E36" s="46">
        <f t="shared" si="0"/>
        <v>0</v>
      </c>
      <c r="F36" s="50"/>
      <c r="G36" s="53"/>
      <c r="H36" s="50"/>
      <c r="I36" s="50"/>
      <c r="J36" s="54"/>
      <c r="K36" s="50"/>
      <c r="L36" s="50"/>
      <c r="M36" s="54"/>
      <c r="N36" s="50"/>
      <c r="O36" s="50"/>
    </row>
    <row r="37" spans="1:15">
      <c r="A37" s="45"/>
      <c r="B37" s="45"/>
      <c r="C37" s="46"/>
      <c r="D37" s="47"/>
      <c r="E37" s="46">
        <f t="shared" si="0"/>
        <v>0</v>
      </c>
      <c r="F37" s="45"/>
      <c r="G37" s="48"/>
      <c r="H37" s="45"/>
      <c r="I37" s="45"/>
      <c r="J37" s="49"/>
      <c r="K37" s="45"/>
      <c r="L37" s="45"/>
      <c r="M37" s="49"/>
      <c r="N37" s="45"/>
      <c r="O37" s="45"/>
    </row>
    <row r="38" spans="1:15">
      <c r="A38" s="50"/>
      <c r="B38" s="50"/>
      <c r="C38" s="51"/>
      <c r="D38" s="52"/>
      <c r="E38" s="46">
        <f t="shared" si="0"/>
        <v>0</v>
      </c>
      <c r="F38" s="50"/>
      <c r="G38" s="53"/>
      <c r="H38" s="50"/>
      <c r="I38" s="50"/>
      <c r="J38" s="54"/>
      <c r="K38" s="50"/>
      <c r="L38" s="50"/>
      <c r="M38" s="54"/>
      <c r="N38" s="50"/>
      <c r="O38" s="50"/>
    </row>
    <row r="39" spans="1:15">
      <c r="A39" s="45"/>
      <c r="B39" s="45"/>
      <c r="C39" s="46"/>
      <c r="D39" s="47"/>
      <c r="E39" s="46">
        <f t="shared" si="0"/>
        <v>0</v>
      </c>
      <c r="F39" s="45"/>
      <c r="G39" s="48"/>
      <c r="H39" s="45"/>
      <c r="I39" s="45"/>
      <c r="J39" s="49"/>
      <c r="K39" s="45"/>
      <c r="L39" s="45"/>
      <c r="M39" s="49"/>
      <c r="N39" s="45"/>
      <c r="O39" s="45"/>
    </row>
    <row r="40" spans="1:15">
      <c r="A40" s="50"/>
      <c r="B40" s="50"/>
      <c r="C40" s="51"/>
      <c r="D40" s="52"/>
      <c r="E40" s="46">
        <f t="shared" si="0"/>
        <v>0</v>
      </c>
      <c r="F40" s="50"/>
      <c r="G40" s="53"/>
      <c r="H40" s="50"/>
      <c r="I40" s="50"/>
      <c r="J40" s="54"/>
      <c r="K40" s="50"/>
      <c r="L40" s="50"/>
      <c r="M40" s="54"/>
      <c r="N40" s="50"/>
      <c r="O40" s="50"/>
    </row>
    <row r="41" spans="1:15">
      <c r="A41" s="45"/>
      <c r="B41" s="45"/>
      <c r="C41" s="46"/>
      <c r="D41" s="47"/>
      <c r="E41" s="46">
        <f t="shared" si="0"/>
        <v>0</v>
      </c>
      <c r="F41" s="45"/>
      <c r="G41" s="48"/>
      <c r="H41" s="45"/>
      <c r="I41" s="45"/>
      <c r="J41" s="49"/>
      <c r="K41" s="45"/>
      <c r="L41" s="45"/>
      <c r="M41" s="49"/>
      <c r="N41" s="45"/>
      <c r="O41" s="45"/>
    </row>
    <row r="42" spans="1:15">
      <c r="A42" s="50"/>
      <c r="B42" s="50"/>
      <c r="C42" s="51"/>
      <c r="D42" s="52"/>
      <c r="E42" s="46">
        <f t="shared" si="0"/>
        <v>0</v>
      </c>
      <c r="F42" s="50"/>
      <c r="G42" s="53"/>
      <c r="H42" s="50"/>
      <c r="I42" s="50"/>
      <c r="J42" s="54"/>
      <c r="K42" s="50"/>
      <c r="L42" s="50"/>
      <c r="M42" s="54"/>
      <c r="N42" s="50"/>
      <c r="O42" s="50"/>
    </row>
    <row r="43" spans="1:15">
      <c r="A43" s="45"/>
      <c r="B43" s="45"/>
      <c r="C43" s="46"/>
      <c r="D43" s="47"/>
      <c r="E43" s="46">
        <f t="shared" si="0"/>
        <v>0</v>
      </c>
      <c r="F43" s="45"/>
      <c r="G43" s="48"/>
      <c r="H43" s="45"/>
      <c r="I43" s="45"/>
      <c r="J43" s="49"/>
      <c r="K43" s="45"/>
      <c r="L43" s="45"/>
      <c r="M43" s="49"/>
      <c r="N43" s="45"/>
      <c r="O43" s="45"/>
    </row>
    <row r="44" spans="1:15">
      <c r="A44" s="50"/>
      <c r="B44" s="50"/>
      <c r="C44" s="51"/>
      <c r="D44" s="52"/>
      <c r="E44" s="46">
        <f t="shared" si="0"/>
        <v>0</v>
      </c>
      <c r="F44" s="50"/>
      <c r="G44" s="53"/>
      <c r="H44" s="50"/>
      <c r="I44" s="50"/>
      <c r="J44" s="54"/>
      <c r="K44" s="50"/>
      <c r="L44" s="50"/>
      <c r="M44" s="54"/>
      <c r="N44" s="50"/>
      <c r="O44" s="50"/>
    </row>
    <row r="45" spans="1:15">
      <c r="A45" s="45"/>
      <c r="B45" s="45"/>
      <c r="C45" s="46"/>
      <c r="D45" s="47"/>
      <c r="E45" s="46">
        <f t="shared" si="0"/>
        <v>0</v>
      </c>
      <c r="F45" s="45"/>
      <c r="G45" s="48"/>
      <c r="H45" s="45"/>
      <c r="I45" s="45"/>
      <c r="J45" s="49"/>
      <c r="K45" s="45"/>
      <c r="L45" s="45"/>
      <c r="M45" s="49"/>
      <c r="N45" s="45"/>
      <c r="O45" s="45"/>
    </row>
    <row r="46" spans="1:15">
      <c r="A46" s="50"/>
      <c r="B46" s="50"/>
      <c r="C46" s="51"/>
      <c r="D46" s="52"/>
      <c r="E46" s="46">
        <f t="shared" si="0"/>
        <v>0</v>
      </c>
      <c r="F46" s="50"/>
      <c r="G46" s="53"/>
      <c r="H46" s="50"/>
      <c r="I46" s="50"/>
      <c r="J46" s="54"/>
      <c r="K46" s="50"/>
      <c r="L46" s="50"/>
      <c r="M46" s="54"/>
      <c r="N46" s="50"/>
      <c r="O46" s="50"/>
    </row>
    <row r="47" spans="1:15">
      <c r="A47" s="45"/>
      <c r="B47" s="45"/>
      <c r="C47" s="46"/>
      <c r="D47" s="47"/>
      <c r="E47" s="46">
        <f t="shared" si="0"/>
        <v>0</v>
      </c>
      <c r="F47" s="45"/>
      <c r="G47" s="48"/>
      <c r="H47" s="45"/>
      <c r="I47" s="45"/>
      <c r="J47" s="49"/>
      <c r="K47" s="45"/>
      <c r="L47" s="45"/>
      <c r="M47" s="49"/>
      <c r="N47" s="45"/>
      <c r="O47" s="45"/>
    </row>
    <row r="48" spans="1:15">
      <c r="A48" s="50"/>
      <c r="B48" s="50"/>
      <c r="C48" s="51"/>
      <c r="D48" s="52"/>
      <c r="E48" s="46">
        <f t="shared" si="0"/>
        <v>0</v>
      </c>
      <c r="F48" s="50"/>
      <c r="G48" s="53"/>
      <c r="H48" s="50"/>
      <c r="I48" s="50"/>
      <c r="J48" s="54"/>
      <c r="K48" s="50"/>
      <c r="L48" s="50"/>
      <c r="M48" s="54"/>
      <c r="N48" s="50"/>
      <c r="O48" s="50"/>
    </row>
    <row r="49" spans="1:15">
      <c r="A49" s="45"/>
      <c r="B49" s="45"/>
      <c r="C49" s="46"/>
      <c r="D49" s="47"/>
      <c r="E49" s="46">
        <f t="shared" si="0"/>
        <v>0</v>
      </c>
      <c r="F49" s="45"/>
      <c r="G49" s="48"/>
      <c r="H49" s="45"/>
      <c r="I49" s="45"/>
      <c r="J49" s="49"/>
      <c r="K49" s="45"/>
      <c r="L49" s="45"/>
      <c r="M49" s="49"/>
      <c r="N49" s="45"/>
      <c r="O49" s="45"/>
    </row>
    <row r="50" spans="1:15">
      <c r="A50" s="50"/>
      <c r="B50" s="50"/>
      <c r="C50" s="51"/>
      <c r="D50" s="52"/>
      <c r="E50" s="46">
        <f t="shared" si="0"/>
        <v>0</v>
      </c>
      <c r="F50" s="50"/>
      <c r="G50" s="53"/>
      <c r="H50" s="50"/>
      <c r="I50" s="50"/>
      <c r="J50" s="54"/>
      <c r="K50" s="50"/>
      <c r="L50" s="50"/>
      <c r="M50" s="54"/>
      <c r="N50" s="50"/>
      <c r="O50" s="50"/>
    </row>
    <row r="51" spans="1:15">
      <c r="A51" s="45"/>
      <c r="B51" s="45"/>
      <c r="C51" s="46"/>
      <c r="D51" s="47"/>
      <c r="E51" s="46">
        <f t="shared" si="0"/>
        <v>0</v>
      </c>
      <c r="F51" s="45"/>
      <c r="G51" s="48"/>
      <c r="H51" s="45"/>
      <c r="I51" s="45"/>
      <c r="J51" s="49"/>
      <c r="K51" s="45"/>
      <c r="L51" s="45"/>
      <c r="M51" s="49"/>
      <c r="N51" s="45"/>
      <c r="O51" s="45"/>
    </row>
    <row r="52" spans="1:15">
      <c r="A52" s="50"/>
      <c r="B52" s="50"/>
      <c r="C52" s="51"/>
      <c r="D52" s="52"/>
      <c r="E52" s="46">
        <f t="shared" si="0"/>
        <v>0</v>
      </c>
      <c r="F52" s="50"/>
      <c r="G52" s="53"/>
      <c r="H52" s="50"/>
      <c r="I52" s="50"/>
      <c r="J52" s="54"/>
      <c r="K52" s="50"/>
      <c r="L52" s="50"/>
      <c r="M52" s="54"/>
      <c r="N52" s="50"/>
      <c r="O52" s="50"/>
    </row>
    <row r="53" spans="1:15">
      <c r="A53" s="45"/>
      <c r="B53" s="45"/>
      <c r="C53" s="46"/>
      <c r="D53" s="47"/>
      <c r="E53" s="46">
        <f t="shared" si="0"/>
        <v>0</v>
      </c>
      <c r="F53" s="45"/>
      <c r="G53" s="48"/>
      <c r="H53" s="45"/>
      <c r="I53" s="45"/>
      <c r="J53" s="49"/>
      <c r="K53" s="45"/>
      <c r="L53" s="45"/>
      <c r="M53" s="49"/>
      <c r="N53" s="45"/>
      <c r="O53" s="45"/>
    </row>
    <row r="54" spans="1:15">
      <c r="A54" s="50"/>
      <c r="B54" s="50"/>
      <c r="C54" s="51"/>
      <c r="D54" s="52"/>
      <c r="E54" s="46">
        <f t="shared" si="0"/>
        <v>0</v>
      </c>
      <c r="F54" s="50"/>
      <c r="G54" s="53"/>
      <c r="H54" s="50"/>
      <c r="I54" s="50"/>
      <c r="J54" s="54"/>
      <c r="K54" s="50"/>
      <c r="L54" s="50"/>
      <c r="M54" s="54"/>
      <c r="N54" s="50"/>
      <c r="O54" s="50"/>
    </row>
    <row r="55" spans="1:15">
      <c r="A55" s="45"/>
      <c r="B55" s="45"/>
      <c r="C55" s="46"/>
      <c r="D55" s="47"/>
      <c r="E55" s="46">
        <f t="shared" si="0"/>
        <v>0</v>
      </c>
      <c r="F55" s="45"/>
      <c r="G55" s="48"/>
      <c r="H55" s="45"/>
      <c r="I55" s="45"/>
      <c r="J55" s="49"/>
      <c r="K55" s="45"/>
      <c r="L55" s="45"/>
      <c r="M55" s="49"/>
      <c r="N55" s="45"/>
      <c r="O55" s="45"/>
    </row>
    <row r="56" spans="1:15">
      <c r="A56" s="50"/>
      <c r="B56" s="50"/>
      <c r="C56" s="51"/>
      <c r="D56" s="52"/>
      <c r="E56" s="46">
        <f t="shared" si="0"/>
        <v>0</v>
      </c>
      <c r="F56" s="50"/>
      <c r="G56" s="53"/>
      <c r="H56" s="50"/>
      <c r="I56" s="50"/>
      <c r="J56" s="54"/>
      <c r="K56" s="50"/>
      <c r="L56" s="50"/>
      <c r="M56" s="54"/>
      <c r="N56" s="50"/>
      <c r="O56" s="50"/>
    </row>
    <row r="57" spans="1:15">
      <c r="A57" s="45"/>
      <c r="B57" s="45"/>
      <c r="C57" s="46"/>
      <c r="D57" s="47"/>
      <c r="E57" s="46">
        <f t="shared" si="0"/>
        <v>0</v>
      </c>
      <c r="F57" s="45"/>
      <c r="G57" s="48"/>
      <c r="H57" s="45"/>
      <c r="I57" s="45"/>
      <c r="J57" s="49"/>
      <c r="K57" s="45"/>
      <c r="L57" s="45"/>
      <c r="M57" s="49"/>
      <c r="N57" s="45"/>
      <c r="O57" s="45"/>
    </row>
    <row r="58" spans="1:15">
      <c r="A58" s="50"/>
      <c r="B58" s="50"/>
      <c r="C58" s="51"/>
      <c r="D58" s="52"/>
      <c r="E58" s="46">
        <f t="shared" si="0"/>
        <v>0</v>
      </c>
      <c r="F58" s="50"/>
      <c r="G58" s="53"/>
      <c r="H58" s="50"/>
      <c r="I58" s="50"/>
      <c r="J58" s="54"/>
      <c r="K58" s="50"/>
      <c r="L58" s="50"/>
      <c r="M58" s="54"/>
      <c r="N58" s="50"/>
      <c r="O58" s="50"/>
    </row>
    <row r="59" spans="1:15">
      <c r="A59" s="45"/>
      <c r="B59" s="45"/>
      <c r="C59" s="46"/>
      <c r="D59" s="47"/>
      <c r="E59" s="46">
        <f t="shared" si="0"/>
        <v>0</v>
      </c>
      <c r="F59" s="45"/>
      <c r="G59" s="48"/>
      <c r="H59" s="45"/>
      <c r="I59" s="45"/>
      <c r="J59" s="49"/>
      <c r="K59" s="45"/>
      <c r="L59" s="45"/>
      <c r="M59" s="49"/>
      <c r="N59" s="45"/>
      <c r="O59" s="45"/>
    </row>
    <row r="60" spans="1:15">
      <c r="A60" s="50"/>
      <c r="B60" s="50"/>
      <c r="C60" s="51"/>
      <c r="D60" s="52"/>
      <c r="E60" s="46">
        <f t="shared" si="0"/>
        <v>0</v>
      </c>
      <c r="F60" s="50"/>
      <c r="G60" s="53"/>
      <c r="H60" s="50"/>
      <c r="I60" s="50"/>
      <c r="J60" s="54"/>
      <c r="K60" s="50"/>
      <c r="L60" s="50"/>
      <c r="M60" s="54"/>
      <c r="N60" s="50"/>
      <c r="O60" s="50"/>
    </row>
    <row r="61" spans="1:15">
      <c r="A61" s="45"/>
      <c r="B61" s="45"/>
      <c r="C61" s="46"/>
      <c r="D61" s="47"/>
      <c r="E61" s="46">
        <f t="shared" si="0"/>
        <v>0</v>
      </c>
      <c r="F61" s="45"/>
      <c r="G61" s="48"/>
      <c r="H61" s="45"/>
      <c r="I61" s="45"/>
      <c r="J61" s="49"/>
      <c r="K61" s="45"/>
      <c r="L61" s="45"/>
      <c r="M61" s="49"/>
      <c r="N61" s="45"/>
      <c r="O61" s="45"/>
    </row>
    <row r="62" spans="1:15">
      <c r="A62" s="50"/>
      <c r="B62" s="50"/>
      <c r="C62" s="51"/>
      <c r="D62" s="52"/>
      <c r="E62" s="46">
        <f t="shared" si="0"/>
        <v>0</v>
      </c>
      <c r="F62" s="50"/>
      <c r="G62" s="53"/>
      <c r="H62" s="50"/>
      <c r="I62" s="50"/>
      <c r="J62" s="54"/>
      <c r="K62" s="50"/>
      <c r="L62" s="50"/>
      <c r="M62" s="54"/>
      <c r="N62" s="50"/>
      <c r="O62" s="50"/>
    </row>
    <row r="63" spans="1:15">
      <c r="A63" s="45"/>
      <c r="B63" s="45"/>
      <c r="C63" s="46"/>
      <c r="D63" s="47"/>
      <c r="E63" s="46">
        <f t="shared" si="0"/>
        <v>0</v>
      </c>
      <c r="F63" s="45"/>
      <c r="G63" s="48"/>
      <c r="H63" s="45"/>
      <c r="I63" s="45"/>
      <c r="J63" s="49"/>
      <c r="K63" s="45"/>
      <c r="L63" s="45"/>
      <c r="M63" s="49"/>
      <c r="N63" s="45"/>
      <c r="O63" s="45"/>
    </row>
    <row r="64" spans="1:15">
      <c r="A64" s="50"/>
      <c r="B64" s="50"/>
      <c r="C64" s="51"/>
      <c r="D64" s="52"/>
      <c r="E64" s="46">
        <f t="shared" si="0"/>
        <v>0</v>
      </c>
      <c r="F64" s="50"/>
      <c r="G64" s="53"/>
      <c r="H64" s="50"/>
      <c r="I64" s="50"/>
      <c r="J64" s="54"/>
      <c r="K64" s="50"/>
      <c r="L64" s="50"/>
      <c r="M64" s="54"/>
      <c r="N64" s="50"/>
      <c r="O64" s="50"/>
    </row>
    <row r="65" spans="1:15">
      <c r="A65" s="45"/>
      <c r="B65" s="45"/>
      <c r="C65" s="46"/>
      <c r="D65" s="47"/>
      <c r="E65" s="46">
        <f t="shared" si="0"/>
        <v>0</v>
      </c>
      <c r="F65" s="45"/>
      <c r="G65" s="48"/>
      <c r="H65" s="45"/>
      <c r="I65" s="45"/>
      <c r="J65" s="49"/>
      <c r="K65" s="45"/>
      <c r="L65" s="45"/>
      <c r="M65" s="49"/>
      <c r="N65" s="45"/>
      <c r="O65" s="45"/>
    </row>
    <row r="66" spans="1:15">
      <c r="A66" s="50"/>
      <c r="B66" s="50"/>
      <c r="C66" s="51"/>
      <c r="D66" s="52"/>
      <c r="E66" s="46">
        <f t="shared" si="0"/>
        <v>0</v>
      </c>
      <c r="F66" s="50"/>
      <c r="G66" s="53"/>
      <c r="H66" s="50"/>
      <c r="I66" s="50"/>
      <c r="J66" s="54"/>
      <c r="K66" s="50"/>
      <c r="L66" s="50"/>
      <c r="M66" s="54"/>
      <c r="N66" s="50"/>
      <c r="O66" s="50"/>
    </row>
    <row r="67" spans="1:15">
      <c r="A67" s="45"/>
      <c r="B67" s="45"/>
      <c r="C67" s="46"/>
      <c r="D67" s="47"/>
      <c r="E67" s="46">
        <f t="shared" si="0"/>
        <v>0</v>
      </c>
      <c r="F67" s="45"/>
      <c r="G67" s="48"/>
      <c r="H67" s="45"/>
      <c r="I67" s="45"/>
      <c r="J67" s="49"/>
      <c r="K67" s="45"/>
      <c r="L67" s="45"/>
      <c r="M67" s="49"/>
      <c r="N67" s="45"/>
      <c r="O67" s="45"/>
    </row>
    <row r="68" spans="1:15">
      <c r="A68" s="50"/>
      <c r="B68" s="50"/>
      <c r="C68" s="51"/>
      <c r="D68" s="52"/>
      <c r="E68" s="46">
        <f t="shared" si="0"/>
        <v>0</v>
      </c>
      <c r="F68" s="50"/>
      <c r="G68" s="53"/>
      <c r="H68" s="50"/>
      <c r="I68" s="50"/>
      <c r="J68" s="54"/>
      <c r="K68" s="50"/>
      <c r="L68" s="50"/>
      <c r="M68" s="54"/>
      <c r="N68" s="50"/>
      <c r="O68" s="50"/>
    </row>
    <row r="69" spans="1:15">
      <c r="A69" s="45"/>
      <c r="B69" s="45"/>
      <c r="C69" s="46"/>
      <c r="D69" s="47"/>
      <c r="E69" s="46">
        <f t="shared" ref="E69:E132" si="1">D69*C69</f>
        <v>0</v>
      </c>
      <c r="F69" s="45"/>
      <c r="G69" s="48"/>
      <c r="H69" s="45"/>
      <c r="I69" s="45"/>
      <c r="J69" s="49"/>
      <c r="K69" s="45"/>
      <c r="L69" s="45"/>
      <c r="M69" s="49"/>
      <c r="N69" s="45"/>
      <c r="O69" s="45"/>
    </row>
    <row r="70" spans="1:15">
      <c r="A70" s="50"/>
      <c r="B70" s="50"/>
      <c r="C70" s="51"/>
      <c r="D70" s="52"/>
      <c r="E70" s="46">
        <f t="shared" si="1"/>
        <v>0</v>
      </c>
      <c r="F70" s="50"/>
      <c r="G70" s="53"/>
      <c r="H70" s="50"/>
      <c r="I70" s="50"/>
      <c r="J70" s="54"/>
      <c r="K70" s="50"/>
      <c r="L70" s="50"/>
      <c r="M70" s="54"/>
      <c r="N70" s="50"/>
      <c r="O70" s="50"/>
    </row>
    <row r="71" spans="1:15">
      <c r="A71" s="45"/>
      <c r="B71" s="45"/>
      <c r="C71" s="46"/>
      <c r="D71" s="47"/>
      <c r="E71" s="46">
        <f t="shared" si="1"/>
        <v>0</v>
      </c>
      <c r="F71" s="45"/>
      <c r="G71" s="48"/>
      <c r="H71" s="45"/>
      <c r="I71" s="45"/>
      <c r="J71" s="49"/>
      <c r="K71" s="45"/>
      <c r="L71" s="45"/>
      <c r="M71" s="49"/>
      <c r="N71" s="45"/>
      <c r="O71" s="45"/>
    </row>
    <row r="72" spans="1:15">
      <c r="A72" s="50"/>
      <c r="B72" s="50"/>
      <c r="C72" s="51"/>
      <c r="D72" s="52"/>
      <c r="E72" s="46">
        <f t="shared" si="1"/>
        <v>0</v>
      </c>
      <c r="F72" s="50"/>
      <c r="G72" s="53"/>
      <c r="H72" s="50"/>
      <c r="I72" s="50"/>
      <c r="J72" s="54"/>
      <c r="K72" s="50"/>
      <c r="L72" s="50"/>
      <c r="M72" s="54"/>
      <c r="N72" s="50"/>
      <c r="O72" s="50"/>
    </row>
    <row r="73" spans="1:15">
      <c r="A73" s="45"/>
      <c r="B73" s="45"/>
      <c r="C73" s="46"/>
      <c r="D73" s="47"/>
      <c r="E73" s="46">
        <f t="shared" si="1"/>
        <v>0</v>
      </c>
      <c r="F73" s="45"/>
      <c r="G73" s="48"/>
      <c r="H73" s="45"/>
      <c r="I73" s="45"/>
      <c r="J73" s="49"/>
      <c r="K73" s="45"/>
      <c r="L73" s="45"/>
      <c r="M73" s="49"/>
      <c r="N73" s="45"/>
      <c r="O73" s="45"/>
    </row>
    <row r="74" spans="1:15">
      <c r="A74" s="50"/>
      <c r="B74" s="50"/>
      <c r="C74" s="51"/>
      <c r="D74" s="52"/>
      <c r="E74" s="46">
        <f t="shared" si="1"/>
        <v>0</v>
      </c>
      <c r="F74" s="50"/>
      <c r="G74" s="53"/>
      <c r="H74" s="50"/>
      <c r="I74" s="50"/>
      <c r="J74" s="54"/>
      <c r="K74" s="50"/>
      <c r="L74" s="50"/>
      <c r="M74" s="54"/>
      <c r="N74" s="50"/>
      <c r="O74" s="50"/>
    </row>
    <row r="75" spans="1:15">
      <c r="A75" s="45"/>
      <c r="B75" s="45"/>
      <c r="C75" s="46"/>
      <c r="D75" s="47"/>
      <c r="E75" s="46">
        <f t="shared" si="1"/>
        <v>0</v>
      </c>
      <c r="F75" s="45"/>
      <c r="G75" s="48"/>
      <c r="H75" s="45"/>
      <c r="I75" s="45"/>
      <c r="J75" s="49"/>
      <c r="K75" s="45"/>
      <c r="L75" s="45"/>
      <c r="M75" s="49"/>
      <c r="N75" s="45"/>
      <c r="O75" s="45"/>
    </row>
    <row r="76" spans="1:15">
      <c r="A76" s="50"/>
      <c r="B76" s="50"/>
      <c r="C76" s="51"/>
      <c r="D76" s="52"/>
      <c r="E76" s="46">
        <f t="shared" si="1"/>
        <v>0</v>
      </c>
      <c r="F76" s="50"/>
      <c r="G76" s="53"/>
      <c r="H76" s="50"/>
      <c r="I76" s="50"/>
      <c r="J76" s="54"/>
      <c r="K76" s="50"/>
      <c r="L76" s="50"/>
      <c r="M76" s="54"/>
      <c r="N76" s="50"/>
      <c r="O76" s="50"/>
    </row>
    <row r="77" spans="1:15">
      <c r="A77" s="45"/>
      <c r="B77" s="45"/>
      <c r="C77" s="46"/>
      <c r="D77" s="47"/>
      <c r="E77" s="46">
        <f t="shared" si="1"/>
        <v>0</v>
      </c>
      <c r="F77" s="45"/>
      <c r="G77" s="48"/>
      <c r="H77" s="45"/>
      <c r="I77" s="45"/>
      <c r="J77" s="49"/>
      <c r="K77" s="45"/>
      <c r="L77" s="45"/>
      <c r="M77" s="49"/>
      <c r="N77" s="45"/>
      <c r="O77" s="45"/>
    </row>
    <row r="78" spans="1:15">
      <c r="A78" s="50"/>
      <c r="B78" s="50"/>
      <c r="C78" s="51"/>
      <c r="D78" s="52"/>
      <c r="E78" s="46">
        <f t="shared" si="1"/>
        <v>0</v>
      </c>
      <c r="F78" s="50"/>
      <c r="G78" s="53"/>
      <c r="H78" s="50"/>
      <c r="I78" s="50"/>
      <c r="J78" s="54"/>
      <c r="K78" s="50"/>
      <c r="L78" s="50"/>
      <c r="M78" s="54"/>
      <c r="N78" s="50"/>
      <c r="O78" s="50"/>
    </row>
    <row r="79" spans="1:15">
      <c r="A79" s="45"/>
      <c r="B79" s="45"/>
      <c r="C79" s="46"/>
      <c r="D79" s="47"/>
      <c r="E79" s="46">
        <f t="shared" si="1"/>
        <v>0</v>
      </c>
      <c r="F79" s="45"/>
      <c r="G79" s="48"/>
      <c r="H79" s="45"/>
      <c r="I79" s="45"/>
      <c r="J79" s="49"/>
      <c r="K79" s="45"/>
      <c r="L79" s="45"/>
      <c r="M79" s="49"/>
      <c r="N79" s="45"/>
      <c r="O79" s="45"/>
    </row>
    <row r="80" spans="1:15">
      <c r="A80" s="50"/>
      <c r="B80" s="50"/>
      <c r="C80" s="51"/>
      <c r="D80" s="52"/>
      <c r="E80" s="46">
        <f t="shared" si="1"/>
        <v>0</v>
      </c>
      <c r="F80" s="50"/>
      <c r="G80" s="53"/>
      <c r="H80" s="50"/>
      <c r="I80" s="50"/>
      <c r="J80" s="54"/>
      <c r="K80" s="50"/>
      <c r="L80" s="50"/>
      <c r="M80" s="54"/>
      <c r="N80" s="50"/>
      <c r="O80" s="50"/>
    </row>
    <row r="81" spans="1:15">
      <c r="A81" s="45"/>
      <c r="B81" s="45"/>
      <c r="C81" s="46"/>
      <c r="D81" s="47"/>
      <c r="E81" s="46">
        <f t="shared" si="1"/>
        <v>0</v>
      </c>
      <c r="F81" s="45"/>
      <c r="G81" s="48"/>
      <c r="H81" s="45"/>
      <c r="I81" s="45"/>
      <c r="J81" s="49"/>
      <c r="K81" s="45"/>
      <c r="L81" s="45"/>
      <c r="M81" s="49"/>
      <c r="N81" s="45"/>
      <c r="O81" s="45"/>
    </row>
    <row r="82" spans="1:15">
      <c r="A82" s="50"/>
      <c r="B82" s="50"/>
      <c r="C82" s="51"/>
      <c r="D82" s="52"/>
      <c r="E82" s="46">
        <f t="shared" si="1"/>
        <v>0</v>
      </c>
      <c r="F82" s="50"/>
      <c r="G82" s="53"/>
      <c r="H82" s="50"/>
      <c r="I82" s="50"/>
      <c r="J82" s="54"/>
      <c r="K82" s="50"/>
      <c r="L82" s="50"/>
      <c r="M82" s="54"/>
      <c r="N82" s="50"/>
      <c r="O82" s="50"/>
    </row>
    <row r="83" spans="1:15">
      <c r="A83" s="45"/>
      <c r="B83" s="45"/>
      <c r="C83" s="46"/>
      <c r="D83" s="47"/>
      <c r="E83" s="46">
        <f t="shared" si="1"/>
        <v>0</v>
      </c>
      <c r="F83" s="45"/>
      <c r="G83" s="48"/>
      <c r="H83" s="45"/>
      <c r="I83" s="45"/>
      <c r="J83" s="49"/>
      <c r="K83" s="45"/>
      <c r="L83" s="45"/>
      <c r="M83" s="49"/>
      <c r="N83" s="45"/>
      <c r="O83" s="45"/>
    </row>
    <row r="84" spans="1:15">
      <c r="A84" s="50"/>
      <c r="B84" s="50"/>
      <c r="C84" s="51"/>
      <c r="D84" s="52"/>
      <c r="E84" s="46">
        <f t="shared" si="1"/>
        <v>0</v>
      </c>
      <c r="F84" s="50"/>
      <c r="G84" s="53"/>
      <c r="H84" s="50"/>
      <c r="I84" s="50"/>
      <c r="J84" s="54"/>
      <c r="K84" s="50"/>
      <c r="L84" s="50"/>
      <c r="M84" s="54"/>
      <c r="N84" s="50"/>
      <c r="O84" s="50"/>
    </row>
    <row r="85" spans="1:15">
      <c r="A85" s="45"/>
      <c r="B85" s="45"/>
      <c r="C85" s="46"/>
      <c r="D85" s="47"/>
      <c r="E85" s="46">
        <f t="shared" si="1"/>
        <v>0</v>
      </c>
      <c r="F85" s="45"/>
      <c r="G85" s="48"/>
      <c r="H85" s="45"/>
      <c r="I85" s="45"/>
      <c r="J85" s="49"/>
      <c r="K85" s="45"/>
      <c r="L85" s="45"/>
      <c r="M85" s="49"/>
      <c r="N85" s="45"/>
      <c r="O85" s="45"/>
    </row>
    <row r="86" spans="1:15">
      <c r="A86" s="50"/>
      <c r="B86" s="50"/>
      <c r="C86" s="51"/>
      <c r="D86" s="52"/>
      <c r="E86" s="46">
        <f t="shared" si="1"/>
        <v>0</v>
      </c>
      <c r="F86" s="50"/>
      <c r="G86" s="53"/>
      <c r="H86" s="50"/>
      <c r="I86" s="50"/>
      <c r="J86" s="54"/>
      <c r="K86" s="50"/>
      <c r="L86" s="50"/>
      <c r="M86" s="54"/>
      <c r="N86" s="50"/>
      <c r="O86" s="50"/>
    </row>
    <row r="87" spans="1:15">
      <c r="A87" s="45"/>
      <c r="B87" s="45"/>
      <c r="C87" s="46"/>
      <c r="D87" s="47"/>
      <c r="E87" s="46">
        <f t="shared" si="1"/>
        <v>0</v>
      </c>
      <c r="F87" s="45"/>
      <c r="G87" s="48"/>
      <c r="H87" s="45"/>
      <c r="I87" s="45"/>
      <c r="J87" s="49"/>
      <c r="K87" s="45"/>
      <c r="L87" s="45"/>
      <c r="M87" s="49"/>
      <c r="N87" s="45"/>
      <c r="O87" s="45"/>
    </row>
    <row r="88" spans="1:15">
      <c r="A88" s="50"/>
      <c r="B88" s="50"/>
      <c r="C88" s="51"/>
      <c r="D88" s="52"/>
      <c r="E88" s="46">
        <f t="shared" si="1"/>
        <v>0</v>
      </c>
      <c r="F88" s="50"/>
      <c r="G88" s="53"/>
      <c r="H88" s="50"/>
      <c r="I88" s="50"/>
      <c r="J88" s="54"/>
      <c r="K88" s="50"/>
      <c r="L88" s="50"/>
      <c r="M88" s="54"/>
      <c r="N88" s="50"/>
      <c r="O88" s="50"/>
    </row>
    <row r="89" spans="1:15">
      <c r="A89" s="45"/>
      <c r="B89" s="45"/>
      <c r="C89" s="46"/>
      <c r="D89" s="47"/>
      <c r="E89" s="46">
        <f t="shared" si="1"/>
        <v>0</v>
      </c>
      <c r="F89" s="45"/>
      <c r="G89" s="48"/>
      <c r="H89" s="45"/>
      <c r="I89" s="45"/>
      <c r="J89" s="49"/>
      <c r="K89" s="45"/>
      <c r="L89" s="45"/>
      <c r="M89" s="49"/>
      <c r="N89" s="45"/>
      <c r="O89" s="45"/>
    </row>
    <row r="90" spans="1:15">
      <c r="A90" s="50"/>
      <c r="B90" s="50"/>
      <c r="C90" s="51"/>
      <c r="D90" s="52"/>
      <c r="E90" s="46">
        <f t="shared" si="1"/>
        <v>0</v>
      </c>
      <c r="F90" s="50"/>
      <c r="G90" s="53"/>
      <c r="H90" s="50"/>
      <c r="I90" s="50"/>
      <c r="J90" s="54"/>
      <c r="K90" s="50"/>
      <c r="L90" s="50"/>
      <c r="M90" s="54"/>
      <c r="N90" s="50"/>
      <c r="O90" s="50"/>
    </row>
    <row r="91" spans="1:15">
      <c r="A91" s="45"/>
      <c r="B91" s="45"/>
      <c r="C91" s="46"/>
      <c r="D91" s="47"/>
      <c r="E91" s="46">
        <f t="shared" si="1"/>
        <v>0</v>
      </c>
      <c r="F91" s="45"/>
      <c r="G91" s="48"/>
      <c r="H91" s="45"/>
      <c r="I91" s="45"/>
      <c r="J91" s="49"/>
      <c r="K91" s="45"/>
      <c r="L91" s="45"/>
      <c r="M91" s="49"/>
      <c r="N91" s="45"/>
      <c r="O91" s="45"/>
    </row>
    <row r="92" spans="1:15">
      <c r="A92" s="50"/>
      <c r="B92" s="50"/>
      <c r="C92" s="51"/>
      <c r="D92" s="52"/>
      <c r="E92" s="46">
        <f t="shared" si="1"/>
        <v>0</v>
      </c>
      <c r="F92" s="50"/>
      <c r="G92" s="53"/>
      <c r="H92" s="50"/>
      <c r="I92" s="50"/>
      <c r="J92" s="54"/>
      <c r="K92" s="50"/>
      <c r="L92" s="50"/>
      <c r="M92" s="54"/>
      <c r="N92" s="50"/>
      <c r="O92" s="50"/>
    </row>
    <row r="93" spans="1:15">
      <c r="A93" s="45"/>
      <c r="B93" s="45"/>
      <c r="C93" s="46"/>
      <c r="D93" s="47"/>
      <c r="E93" s="46">
        <f t="shared" si="1"/>
        <v>0</v>
      </c>
      <c r="F93" s="45"/>
      <c r="G93" s="48"/>
      <c r="H93" s="45"/>
      <c r="I93" s="45"/>
      <c r="J93" s="49"/>
      <c r="K93" s="45"/>
      <c r="L93" s="45"/>
      <c r="M93" s="49"/>
      <c r="N93" s="45"/>
      <c r="O93" s="45"/>
    </row>
    <row r="94" spans="1:15">
      <c r="A94" s="50"/>
      <c r="B94" s="50"/>
      <c r="C94" s="51"/>
      <c r="D94" s="52"/>
      <c r="E94" s="46">
        <f t="shared" si="1"/>
        <v>0</v>
      </c>
      <c r="F94" s="50"/>
      <c r="G94" s="53"/>
      <c r="H94" s="50"/>
      <c r="I94" s="50"/>
      <c r="J94" s="54"/>
      <c r="K94" s="50"/>
      <c r="L94" s="50"/>
      <c r="M94" s="54"/>
      <c r="N94" s="50"/>
      <c r="O94" s="50"/>
    </row>
    <row r="95" spans="1:15">
      <c r="A95" s="45"/>
      <c r="B95" s="45"/>
      <c r="C95" s="46"/>
      <c r="D95" s="47"/>
      <c r="E95" s="46">
        <f t="shared" si="1"/>
        <v>0</v>
      </c>
      <c r="F95" s="45"/>
      <c r="G95" s="48"/>
      <c r="H95" s="45"/>
      <c r="I95" s="45"/>
      <c r="J95" s="49"/>
      <c r="K95" s="45"/>
      <c r="L95" s="45"/>
      <c r="M95" s="49"/>
      <c r="N95" s="45"/>
      <c r="O95" s="45"/>
    </row>
    <row r="96" spans="1:15">
      <c r="A96" s="50"/>
      <c r="B96" s="50"/>
      <c r="C96" s="51"/>
      <c r="D96" s="52"/>
      <c r="E96" s="46">
        <f t="shared" si="1"/>
        <v>0</v>
      </c>
      <c r="F96" s="50"/>
      <c r="G96" s="53"/>
      <c r="H96" s="50"/>
      <c r="I96" s="50"/>
      <c r="J96" s="54"/>
      <c r="K96" s="50"/>
      <c r="L96" s="50"/>
      <c r="M96" s="54"/>
      <c r="N96" s="50"/>
      <c r="O96" s="50"/>
    </row>
    <row r="97" spans="1:15">
      <c r="A97" s="45"/>
      <c r="B97" s="45"/>
      <c r="C97" s="46"/>
      <c r="D97" s="47"/>
      <c r="E97" s="46">
        <f t="shared" si="1"/>
        <v>0</v>
      </c>
      <c r="F97" s="45"/>
      <c r="G97" s="48"/>
      <c r="H97" s="45"/>
      <c r="I97" s="45"/>
      <c r="J97" s="49"/>
      <c r="K97" s="45"/>
      <c r="L97" s="45"/>
      <c r="M97" s="49"/>
      <c r="N97" s="45"/>
      <c r="O97" s="45"/>
    </row>
    <row r="98" spans="1:15">
      <c r="A98" s="50"/>
      <c r="B98" s="50"/>
      <c r="C98" s="51"/>
      <c r="D98" s="52"/>
      <c r="E98" s="46">
        <f t="shared" si="1"/>
        <v>0</v>
      </c>
      <c r="F98" s="50"/>
      <c r="G98" s="53"/>
      <c r="H98" s="50"/>
      <c r="I98" s="50"/>
      <c r="J98" s="54"/>
      <c r="K98" s="50"/>
      <c r="L98" s="50"/>
      <c r="M98" s="54"/>
      <c r="N98" s="50"/>
      <c r="O98" s="50"/>
    </row>
    <row r="99" spans="1:15">
      <c r="A99" s="45"/>
      <c r="B99" s="45"/>
      <c r="C99" s="46"/>
      <c r="D99" s="47"/>
      <c r="E99" s="46">
        <f t="shared" si="1"/>
        <v>0</v>
      </c>
      <c r="F99" s="45"/>
      <c r="G99" s="48"/>
      <c r="H99" s="45"/>
      <c r="I99" s="45"/>
      <c r="J99" s="49"/>
      <c r="K99" s="45"/>
      <c r="L99" s="45"/>
      <c r="M99" s="49"/>
      <c r="N99" s="45"/>
      <c r="O99" s="45"/>
    </row>
    <row r="100" spans="1:15">
      <c r="A100" s="50"/>
      <c r="B100" s="50"/>
      <c r="C100" s="51"/>
      <c r="D100" s="52"/>
      <c r="E100" s="46">
        <f t="shared" si="1"/>
        <v>0</v>
      </c>
      <c r="F100" s="50"/>
      <c r="G100" s="53"/>
      <c r="H100" s="50"/>
      <c r="I100" s="50"/>
      <c r="J100" s="54"/>
      <c r="K100" s="50"/>
      <c r="L100" s="50"/>
      <c r="M100" s="54"/>
      <c r="N100" s="50"/>
      <c r="O100" s="50"/>
    </row>
    <row r="101" spans="1:15">
      <c r="A101" s="45"/>
      <c r="B101" s="45"/>
      <c r="C101" s="46"/>
      <c r="D101" s="47"/>
      <c r="E101" s="46">
        <f t="shared" si="1"/>
        <v>0</v>
      </c>
      <c r="F101" s="45"/>
      <c r="G101" s="48"/>
      <c r="H101" s="45"/>
      <c r="I101" s="45"/>
      <c r="J101" s="49"/>
      <c r="K101" s="45"/>
      <c r="L101" s="45"/>
      <c r="M101" s="49"/>
      <c r="N101" s="45"/>
      <c r="O101" s="45"/>
    </row>
    <row r="102" spans="1:15">
      <c r="A102" s="50"/>
      <c r="B102" s="50"/>
      <c r="C102" s="51"/>
      <c r="D102" s="52"/>
      <c r="E102" s="46">
        <f t="shared" si="1"/>
        <v>0</v>
      </c>
      <c r="F102" s="50"/>
      <c r="G102" s="53"/>
      <c r="H102" s="50"/>
      <c r="I102" s="50"/>
      <c r="J102" s="54"/>
      <c r="K102" s="50"/>
      <c r="L102" s="50"/>
      <c r="M102" s="54"/>
      <c r="N102" s="50"/>
      <c r="O102" s="50"/>
    </row>
    <row r="103" spans="1:15">
      <c r="A103" s="45"/>
      <c r="B103" s="45"/>
      <c r="C103" s="46"/>
      <c r="D103" s="47"/>
      <c r="E103" s="46">
        <f t="shared" si="1"/>
        <v>0</v>
      </c>
      <c r="F103" s="45"/>
      <c r="G103" s="48"/>
      <c r="H103" s="45"/>
      <c r="I103" s="45"/>
      <c r="J103" s="49"/>
      <c r="K103" s="45"/>
      <c r="L103" s="45"/>
      <c r="M103" s="49"/>
      <c r="N103" s="45"/>
      <c r="O103" s="45"/>
    </row>
    <row r="104" spans="1:15">
      <c r="A104" s="50"/>
      <c r="B104" s="50"/>
      <c r="C104" s="51"/>
      <c r="D104" s="52"/>
      <c r="E104" s="46">
        <f t="shared" si="1"/>
        <v>0</v>
      </c>
      <c r="F104" s="50"/>
      <c r="G104" s="53"/>
      <c r="H104" s="50"/>
      <c r="I104" s="50"/>
      <c r="J104" s="54"/>
      <c r="K104" s="50"/>
      <c r="L104" s="50"/>
      <c r="M104" s="54"/>
      <c r="N104" s="50"/>
      <c r="O104" s="50"/>
    </row>
    <row r="105" spans="1:15">
      <c r="A105" s="45"/>
      <c r="B105" s="45"/>
      <c r="C105" s="46"/>
      <c r="D105" s="47"/>
      <c r="E105" s="46">
        <f t="shared" si="1"/>
        <v>0</v>
      </c>
      <c r="F105" s="45"/>
      <c r="G105" s="48"/>
      <c r="H105" s="45"/>
      <c r="I105" s="45"/>
      <c r="J105" s="49"/>
      <c r="K105" s="45"/>
      <c r="L105" s="45"/>
      <c r="M105" s="49"/>
      <c r="N105" s="45"/>
      <c r="O105" s="45"/>
    </row>
    <row r="106" spans="1:15">
      <c r="A106" s="50"/>
      <c r="B106" s="50"/>
      <c r="C106" s="51"/>
      <c r="D106" s="52"/>
      <c r="E106" s="46">
        <f t="shared" si="1"/>
        <v>0</v>
      </c>
      <c r="F106" s="50"/>
      <c r="G106" s="53"/>
      <c r="H106" s="50"/>
      <c r="I106" s="50"/>
      <c r="J106" s="54"/>
      <c r="K106" s="50"/>
      <c r="L106" s="50"/>
      <c r="M106" s="54"/>
      <c r="N106" s="50"/>
      <c r="O106" s="50"/>
    </row>
    <row r="107" spans="1:15">
      <c r="A107" s="45"/>
      <c r="B107" s="45"/>
      <c r="C107" s="46"/>
      <c r="D107" s="47"/>
      <c r="E107" s="46">
        <f t="shared" si="1"/>
        <v>0</v>
      </c>
      <c r="F107" s="45"/>
      <c r="G107" s="48"/>
      <c r="H107" s="45"/>
      <c r="I107" s="45"/>
      <c r="J107" s="49"/>
      <c r="K107" s="45"/>
      <c r="L107" s="45"/>
      <c r="M107" s="49"/>
      <c r="N107" s="45"/>
      <c r="O107" s="45"/>
    </row>
    <row r="108" spans="1:15">
      <c r="A108" s="50"/>
      <c r="B108" s="50"/>
      <c r="C108" s="51"/>
      <c r="D108" s="52"/>
      <c r="E108" s="46">
        <f t="shared" si="1"/>
        <v>0</v>
      </c>
      <c r="F108" s="50"/>
      <c r="G108" s="53"/>
      <c r="H108" s="50"/>
      <c r="I108" s="50"/>
      <c r="J108" s="54"/>
      <c r="K108" s="50"/>
      <c r="L108" s="50"/>
      <c r="M108" s="54"/>
      <c r="N108" s="50"/>
      <c r="O108" s="50"/>
    </row>
    <row r="109" spans="1:15">
      <c r="A109" s="45"/>
      <c r="B109" s="45"/>
      <c r="C109" s="46"/>
      <c r="D109" s="47"/>
      <c r="E109" s="46">
        <f t="shared" si="1"/>
        <v>0</v>
      </c>
      <c r="F109" s="45"/>
      <c r="G109" s="48"/>
      <c r="H109" s="45"/>
      <c r="I109" s="45"/>
      <c r="J109" s="49"/>
      <c r="K109" s="45"/>
      <c r="L109" s="45"/>
      <c r="M109" s="49"/>
      <c r="N109" s="45"/>
      <c r="O109" s="45"/>
    </row>
    <row r="110" spans="1:15">
      <c r="A110" s="50"/>
      <c r="B110" s="50"/>
      <c r="C110" s="51"/>
      <c r="D110" s="52"/>
      <c r="E110" s="46">
        <f t="shared" si="1"/>
        <v>0</v>
      </c>
      <c r="F110" s="50"/>
      <c r="G110" s="53"/>
      <c r="H110" s="50"/>
      <c r="I110" s="50"/>
      <c r="J110" s="54"/>
      <c r="K110" s="50"/>
      <c r="L110" s="50"/>
      <c r="M110" s="54"/>
      <c r="N110" s="50"/>
      <c r="O110" s="50"/>
    </row>
    <row r="111" spans="1:15">
      <c r="A111" s="45"/>
      <c r="B111" s="45"/>
      <c r="C111" s="46"/>
      <c r="D111" s="47"/>
      <c r="E111" s="46">
        <f t="shared" si="1"/>
        <v>0</v>
      </c>
      <c r="F111" s="45"/>
      <c r="G111" s="48"/>
      <c r="H111" s="45"/>
      <c r="I111" s="45"/>
      <c r="J111" s="49"/>
      <c r="K111" s="45"/>
      <c r="L111" s="45"/>
      <c r="M111" s="49"/>
      <c r="N111" s="45"/>
      <c r="O111" s="45"/>
    </row>
    <row r="112" spans="1:15">
      <c r="A112" s="50"/>
      <c r="B112" s="50"/>
      <c r="C112" s="51"/>
      <c r="D112" s="52"/>
      <c r="E112" s="46">
        <f t="shared" si="1"/>
        <v>0</v>
      </c>
      <c r="F112" s="50"/>
      <c r="G112" s="53"/>
      <c r="H112" s="50"/>
      <c r="I112" s="50"/>
      <c r="J112" s="54"/>
      <c r="K112" s="50"/>
      <c r="L112" s="50"/>
      <c r="M112" s="54"/>
      <c r="N112" s="50"/>
      <c r="O112" s="50"/>
    </row>
    <row r="113" spans="1:15">
      <c r="A113" s="45"/>
      <c r="B113" s="45"/>
      <c r="C113" s="46"/>
      <c r="D113" s="47"/>
      <c r="E113" s="46">
        <f t="shared" si="1"/>
        <v>0</v>
      </c>
      <c r="F113" s="45"/>
      <c r="G113" s="48"/>
      <c r="H113" s="45"/>
      <c r="I113" s="45"/>
      <c r="J113" s="49"/>
      <c r="K113" s="45"/>
      <c r="L113" s="45"/>
      <c r="M113" s="49"/>
      <c r="N113" s="45"/>
      <c r="O113" s="45"/>
    </row>
    <row r="114" spans="1:15">
      <c r="A114" s="50"/>
      <c r="B114" s="50"/>
      <c r="C114" s="51"/>
      <c r="D114" s="52"/>
      <c r="E114" s="46">
        <f t="shared" si="1"/>
        <v>0</v>
      </c>
      <c r="F114" s="50"/>
      <c r="G114" s="53"/>
      <c r="H114" s="50"/>
      <c r="I114" s="50"/>
      <c r="J114" s="54"/>
      <c r="K114" s="50"/>
      <c r="L114" s="50"/>
      <c r="M114" s="54"/>
      <c r="N114" s="50"/>
      <c r="O114" s="50"/>
    </row>
    <row r="115" spans="1:15">
      <c r="A115" s="45"/>
      <c r="B115" s="45"/>
      <c r="C115" s="46"/>
      <c r="D115" s="47"/>
      <c r="E115" s="46">
        <f t="shared" si="1"/>
        <v>0</v>
      </c>
      <c r="F115" s="45"/>
      <c r="G115" s="48"/>
      <c r="H115" s="45"/>
      <c r="I115" s="45"/>
      <c r="J115" s="49"/>
      <c r="K115" s="45"/>
      <c r="L115" s="45"/>
      <c r="M115" s="49"/>
      <c r="N115" s="45"/>
      <c r="O115" s="45"/>
    </row>
    <row r="116" spans="1:15">
      <c r="A116" s="50"/>
      <c r="B116" s="50"/>
      <c r="C116" s="51"/>
      <c r="D116" s="52"/>
      <c r="E116" s="46">
        <f t="shared" si="1"/>
        <v>0</v>
      </c>
      <c r="F116" s="50"/>
      <c r="G116" s="53"/>
      <c r="H116" s="50"/>
      <c r="I116" s="50"/>
      <c r="J116" s="54"/>
      <c r="K116" s="50"/>
      <c r="L116" s="50"/>
      <c r="M116" s="54"/>
      <c r="N116" s="50"/>
      <c r="O116" s="50"/>
    </row>
    <row r="117" spans="1:15">
      <c r="A117" s="45"/>
      <c r="B117" s="45"/>
      <c r="C117" s="46"/>
      <c r="D117" s="47"/>
      <c r="E117" s="46">
        <f t="shared" si="1"/>
        <v>0</v>
      </c>
      <c r="F117" s="45"/>
      <c r="G117" s="48"/>
      <c r="H117" s="45"/>
      <c r="I117" s="45"/>
      <c r="J117" s="49"/>
      <c r="K117" s="45"/>
      <c r="L117" s="45"/>
      <c r="M117" s="49"/>
      <c r="N117" s="45"/>
      <c r="O117" s="45"/>
    </row>
    <row r="118" spans="1:15">
      <c r="A118" s="50"/>
      <c r="B118" s="50"/>
      <c r="C118" s="51"/>
      <c r="D118" s="52"/>
      <c r="E118" s="46">
        <f t="shared" si="1"/>
        <v>0</v>
      </c>
      <c r="F118" s="50"/>
      <c r="G118" s="53"/>
      <c r="H118" s="50"/>
      <c r="I118" s="50"/>
      <c r="J118" s="54"/>
      <c r="K118" s="50"/>
      <c r="L118" s="50"/>
      <c r="M118" s="54"/>
      <c r="N118" s="50"/>
      <c r="O118" s="50"/>
    </row>
    <row r="119" spans="1:15">
      <c r="A119" s="45"/>
      <c r="B119" s="45"/>
      <c r="C119" s="46"/>
      <c r="D119" s="47"/>
      <c r="E119" s="46">
        <f t="shared" si="1"/>
        <v>0</v>
      </c>
      <c r="F119" s="45"/>
      <c r="G119" s="48"/>
      <c r="H119" s="45"/>
      <c r="I119" s="45"/>
      <c r="J119" s="49"/>
      <c r="K119" s="45"/>
      <c r="L119" s="45"/>
      <c r="M119" s="49"/>
      <c r="N119" s="45"/>
      <c r="O119" s="45"/>
    </row>
    <row r="120" spans="1:15">
      <c r="A120" s="50"/>
      <c r="B120" s="50"/>
      <c r="C120" s="51"/>
      <c r="D120" s="52"/>
      <c r="E120" s="46">
        <f t="shared" si="1"/>
        <v>0</v>
      </c>
      <c r="F120" s="50"/>
      <c r="G120" s="53"/>
      <c r="H120" s="50"/>
      <c r="I120" s="50"/>
      <c r="J120" s="54"/>
      <c r="K120" s="50"/>
      <c r="L120" s="50"/>
      <c r="M120" s="54"/>
      <c r="N120" s="50"/>
      <c r="O120" s="50"/>
    </row>
    <row r="121" spans="1:15">
      <c r="A121" s="45"/>
      <c r="B121" s="45"/>
      <c r="C121" s="46"/>
      <c r="D121" s="47"/>
      <c r="E121" s="46">
        <f t="shared" si="1"/>
        <v>0</v>
      </c>
      <c r="F121" s="45"/>
      <c r="G121" s="48"/>
      <c r="H121" s="45"/>
      <c r="I121" s="45"/>
      <c r="J121" s="49"/>
      <c r="K121" s="45"/>
      <c r="L121" s="45"/>
      <c r="M121" s="49"/>
      <c r="N121" s="45"/>
      <c r="O121" s="45"/>
    </row>
    <row r="122" spans="1:15">
      <c r="A122" s="50"/>
      <c r="B122" s="50"/>
      <c r="C122" s="51"/>
      <c r="D122" s="52"/>
      <c r="E122" s="46">
        <f t="shared" si="1"/>
        <v>0</v>
      </c>
      <c r="F122" s="50"/>
      <c r="G122" s="53"/>
      <c r="H122" s="50"/>
      <c r="I122" s="50"/>
      <c r="J122" s="54"/>
      <c r="K122" s="50"/>
      <c r="L122" s="50"/>
      <c r="M122" s="54"/>
      <c r="N122" s="50"/>
      <c r="O122" s="50"/>
    </row>
    <row r="123" spans="1:15">
      <c r="A123" s="45"/>
      <c r="B123" s="45"/>
      <c r="C123" s="46"/>
      <c r="D123" s="47"/>
      <c r="E123" s="46">
        <f t="shared" si="1"/>
        <v>0</v>
      </c>
      <c r="F123" s="45"/>
      <c r="G123" s="48"/>
      <c r="H123" s="45"/>
      <c r="I123" s="45"/>
      <c r="J123" s="49"/>
      <c r="K123" s="45"/>
      <c r="L123" s="45"/>
      <c r="M123" s="49"/>
      <c r="N123" s="45"/>
      <c r="O123" s="45"/>
    </row>
    <row r="124" spans="1:15">
      <c r="A124" s="50"/>
      <c r="B124" s="50"/>
      <c r="C124" s="51"/>
      <c r="D124" s="52"/>
      <c r="E124" s="46">
        <f t="shared" si="1"/>
        <v>0</v>
      </c>
      <c r="F124" s="50"/>
      <c r="G124" s="53"/>
      <c r="H124" s="50"/>
      <c r="I124" s="50"/>
      <c r="J124" s="54"/>
      <c r="K124" s="50"/>
      <c r="L124" s="50"/>
      <c r="M124" s="54"/>
      <c r="N124" s="50"/>
      <c r="O124" s="50"/>
    </row>
    <row r="125" spans="1:15">
      <c r="A125" s="45"/>
      <c r="B125" s="45"/>
      <c r="C125" s="46"/>
      <c r="D125" s="47"/>
      <c r="E125" s="46">
        <f t="shared" si="1"/>
        <v>0</v>
      </c>
      <c r="F125" s="45"/>
      <c r="G125" s="48"/>
      <c r="H125" s="45"/>
      <c r="I125" s="45"/>
      <c r="J125" s="49"/>
      <c r="K125" s="45"/>
      <c r="L125" s="45"/>
      <c r="M125" s="49"/>
      <c r="N125" s="45"/>
      <c r="O125" s="45"/>
    </row>
    <row r="126" spans="1:15">
      <c r="A126" s="50"/>
      <c r="B126" s="50"/>
      <c r="C126" s="51"/>
      <c r="D126" s="52"/>
      <c r="E126" s="46">
        <f t="shared" si="1"/>
        <v>0</v>
      </c>
      <c r="F126" s="50"/>
      <c r="G126" s="53"/>
      <c r="H126" s="50"/>
      <c r="I126" s="50"/>
      <c r="J126" s="54"/>
      <c r="K126" s="50"/>
      <c r="L126" s="50"/>
      <c r="M126" s="54"/>
      <c r="N126" s="50"/>
      <c r="O126" s="50"/>
    </row>
    <row r="127" spans="1:15">
      <c r="A127" s="45"/>
      <c r="B127" s="45"/>
      <c r="C127" s="46"/>
      <c r="D127" s="47"/>
      <c r="E127" s="46">
        <f t="shared" si="1"/>
        <v>0</v>
      </c>
      <c r="F127" s="45"/>
      <c r="G127" s="48"/>
      <c r="H127" s="45"/>
      <c r="I127" s="45"/>
      <c r="J127" s="49"/>
      <c r="K127" s="45"/>
      <c r="L127" s="45"/>
      <c r="M127" s="49"/>
      <c r="N127" s="45"/>
      <c r="O127" s="45"/>
    </row>
    <row r="128" spans="1:15">
      <c r="A128" s="50"/>
      <c r="B128" s="50"/>
      <c r="C128" s="51"/>
      <c r="D128" s="52"/>
      <c r="E128" s="46">
        <f t="shared" si="1"/>
        <v>0</v>
      </c>
      <c r="F128" s="50"/>
      <c r="G128" s="53"/>
      <c r="H128" s="50"/>
      <c r="I128" s="50"/>
      <c r="J128" s="54"/>
      <c r="K128" s="50"/>
      <c r="L128" s="50"/>
      <c r="M128" s="54"/>
      <c r="N128" s="50"/>
      <c r="O128" s="50"/>
    </row>
    <row r="129" spans="1:15">
      <c r="A129" s="45"/>
      <c r="B129" s="45"/>
      <c r="C129" s="46"/>
      <c r="D129" s="47"/>
      <c r="E129" s="46">
        <f t="shared" si="1"/>
        <v>0</v>
      </c>
      <c r="F129" s="45"/>
      <c r="G129" s="48"/>
      <c r="H129" s="45"/>
      <c r="I129" s="45"/>
      <c r="J129" s="49"/>
      <c r="K129" s="45"/>
      <c r="L129" s="45"/>
      <c r="M129" s="49"/>
      <c r="N129" s="45"/>
      <c r="O129" s="45"/>
    </row>
    <row r="130" spans="1:15">
      <c r="A130" s="50"/>
      <c r="B130" s="50"/>
      <c r="C130" s="51"/>
      <c r="D130" s="52"/>
      <c r="E130" s="46">
        <f t="shared" si="1"/>
        <v>0</v>
      </c>
      <c r="F130" s="50"/>
      <c r="G130" s="53"/>
      <c r="H130" s="50"/>
      <c r="I130" s="50"/>
      <c r="J130" s="54"/>
      <c r="K130" s="50"/>
      <c r="L130" s="50"/>
      <c r="M130" s="54"/>
      <c r="N130" s="50"/>
      <c r="O130" s="50"/>
    </row>
    <row r="131" spans="1:15">
      <c r="A131" s="45"/>
      <c r="B131" s="45"/>
      <c r="C131" s="46"/>
      <c r="D131" s="47"/>
      <c r="E131" s="46">
        <f t="shared" si="1"/>
        <v>0</v>
      </c>
      <c r="F131" s="45"/>
      <c r="G131" s="48"/>
      <c r="H131" s="45"/>
      <c r="I131" s="45"/>
      <c r="J131" s="49"/>
      <c r="K131" s="45"/>
      <c r="L131" s="45"/>
      <c r="M131" s="49"/>
      <c r="N131" s="45"/>
      <c r="O131" s="45"/>
    </row>
    <row r="132" spans="1:15">
      <c r="A132" s="50"/>
      <c r="B132" s="50"/>
      <c r="C132" s="51"/>
      <c r="D132" s="52"/>
      <c r="E132" s="46">
        <f t="shared" si="1"/>
        <v>0</v>
      </c>
      <c r="F132" s="50"/>
      <c r="G132" s="53"/>
      <c r="H132" s="50"/>
      <c r="I132" s="50"/>
      <c r="J132" s="54"/>
      <c r="K132" s="50"/>
      <c r="L132" s="50"/>
      <c r="M132" s="54"/>
      <c r="N132" s="50"/>
      <c r="O132" s="50"/>
    </row>
    <row r="133" spans="1:15">
      <c r="A133" s="45"/>
      <c r="B133" s="45"/>
      <c r="C133" s="46"/>
      <c r="D133" s="47"/>
      <c r="E133" s="46">
        <f t="shared" ref="E133:E196" si="2">D133*C133</f>
        <v>0</v>
      </c>
      <c r="F133" s="45"/>
      <c r="G133" s="48"/>
      <c r="H133" s="45"/>
      <c r="I133" s="45"/>
      <c r="J133" s="49"/>
      <c r="K133" s="45"/>
      <c r="L133" s="45"/>
      <c r="M133" s="49"/>
      <c r="N133" s="45"/>
      <c r="O133" s="45"/>
    </row>
    <row r="134" spans="1:15">
      <c r="A134" s="50"/>
      <c r="B134" s="50"/>
      <c r="C134" s="51"/>
      <c r="D134" s="52"/>
      <c r="E134" s="46">
        <f t="shared" si="2"/>
        <v>0</v>
      </c>
      <c r="F134" s="50"/>
      <c r="G134" s="53"/>
      <c r="H134" s="50"/>
      <c r="I134" s="50"/>
      <c r="J134" s="54"/>
      <c r="K134" s="50"/>
      <c r="L134" s="50"/>
      <c r="M134" s="54"/>
      <c r="N134" s="50"/>
      <c r="O134" s="50"/>
    </row>
    <row r="135" spans="1:15">
      <c r="A135" s="45"/>
      <c r="B135" s="45"/>
      <c r="C135" s="46"/>
      <c r="D135" s="47"/>
      <c r="E135" s="46">
        <f t="shared" si="2"/>
        <v>0</v>
      </c>
      <c r="F135" s="45"/>
      <c r="G135" s="48"/>
      <c r="H135" s="45"/>
      <c r="I135" s="45"/>
      <c r="J135" s="49"/>
      <c r="K135" s="45"/>
      <c r="L135" s="45"/>
      <c r="M135" s="49"/>
      <c r="N135" s="45"/>
      <c r="O135" s="45"/>
    </row>
    <row r="136" spans="1:15">
      <c r="A136" s="50"/>
      <c r="B136" s="50"/>
      <c r="C136" s="51"/>
      <c r="D136" s="52"/>
      <c r="E136" s="46">
        <f t="shared" si="2"/>
        <v>0</v>
      </c>
      <c r="F136" s="50"/>
      <c r="G136" s="53"/>
      <c r="H136" s="50"/>
      <c r="I136" s="50"/>
      <c r="J136" s="54"/>
      <c r="K136" s="50"/>
      <c r="L136" s="50"/>
      <c r="M136" s="54"/>
      <c r="N136" s="50"/>
      <c r="O136" s="50"/>
    </row>
    <row r="137" spans="1:15">
      <c r="A137" s="45"/>
      <c r="B137" s="45"/>
      <c r="C137" s="46"/>
      <c r="D137" s="47"/>
      <c r="E137" s="46">
        <f t="shared" si="2"/>
        <v>0</v>
      </c>
      <c r="F137" s="45"/>
      <c r="G137" s="48"/>
      <c r="H137" s="45"/>
      <c r="I137" s="45"/>
      <c r="J137" s="49"/>
      <c r="K137" s="45"/>
      <c r="L137" s="45"/>
      <c r="M137" s="49"/>
      <c r="N137" s="45"/>
      <c r="O137" s="45"/>
    </row>
    <row r="138" spans="1:15">
      <c r="A138" s="50"/>
      <c r="B138" s="50"/>
      <c r="C138" s="51"/>
      <c r="D138" s="52"/>
      <c r="E138" s="46">
        <f t="shared" si="2"/>
        <v>0</v>
      </c>
      <c r="F138" s="50"/>
      <c r="G138" s="53"/>
      <c r="H138" s="50"/>
      <c r="I138" s="50"/>
      <c r="J138" s="54"/>
      <c r="K138" s="50"/>
      <c r="L138" s="50"/>
      <c r="M138" s="54"/>
      <c r="N138" s="50"/>
      <c r="O138" s="50"/>
    </row>
    <row r="139" spans="1:15">
      <c r="A139" s="45"/>
      <c r="B139" s="45"/>
      <c r="C139" s="46"/>
      <c r="D139" s="47"/>
      <c r="E139" s="46">
        <f t="shared" si="2"/>
        <v>0</v>
      </c>
      <c r="F139" s="45"/>
      <c r="G139" s="48"/>
      <c r="H139" s="45"/>
      <c r="I139" s="45"/>
      <c r="J139" s="49"/>
      <c r="K139" s="45"/>
      <c r="L139" s="45"/>
      <c r="M139" s="49"/>
      <c r="N139" s="45"/>
      <c r="O139" s="45"/>
    </row>
    <row r="140" spans="1:15">
      <c r="A140" s="50"/>
      <c r="B140" s="50"/>
      <c r="C140" s="51"/>
      <c r="D140" s="52"/>
      <c r="E140" s="46">
        <f t="shared" si="2"/>
        <v>0</v>
      </c>
      <c r="F140" s="50"/>
      <c r="G140" s="53"/>
      <c r="H140" s="50"/>
      <c r="I140" s="50"/>
      <c r="J140" s="54"/>
      <c r="K140" s="50"/>
      <c r="L140" s="50"/>
      <c r="M140" s="54"/>
      <c r="N140" s="50"/>
      <c r="O140" s="50"/>
    </row>
    <row r="141" spans="1:15">
      <c r="A141" s="45"/>
      <c r="B141" s="45"/>
      <c r="C141" s="46"/>
      <c r="D141" s="47"/>
      <c r="E141" s="46">
        <f t="shared" si="2"/>
        <v>0</v>
      </c>
      <c r="F141" s="45"/>
      <c r="G141" s="48"/>
      <c r="H141" s="45"/>
      <c r="I141" s="45"/>
      <c r="J141" s="49"/>
      <c r="K141" s="45"/>
      <c r="L141" s="45"/>
      <c r="M141" s="49"/>
      <c r="N141" s="45"/>
      <c r="O141" s="45"/>
    </row>
    <row r="142" spans="1:15">
      <c r="A142" s="50"/>
      <c r="B142" s="50"/>
      <c r="C142" s="51"/>
      <c r="D142" s="52"/>
      <c r="E142" s="46">
        <f t="shared" si="2"/>
        <v>0</v>
      </c>
      <c r="F142" s="50"/>
      <c r="G142" s="53"/>
      <c r="H142" s="50"/>
      <c r="I142" s="50"/>
      <c r="J142" s="54"/>
      <c r="K142" s="50"/>
      <c r="L142" s="50"/>
      <c r="M142" s="54"/>
      <c r="N142" s="50"/>
      <c r="O142" s="50"/>
    </row>
    <row r="143" spans="1:15">
      <c r="A143" s="45"/>
      <c r="B143" s="45"/>
      <c r="C143" s="46"/>
      <c r="D143" s="47"/>
      <c r="E143" s="46">
        <f t="shared" si="2"/>
        <v>0</v>
      </c>
      <c r="F143" s="45"/>
      <c r="G143" s="48"/>
      <c r="H143" s="45"/>
      <c r="I143" s="45"/>
      <c r="J143" s="49"/>
      <c r="K143" s="45"/>
      <c r="L143" s="45"/>
      <c r="M143" s="49"/>
      <c r="N143" s="45"/>
      <c r="O143" s="45"/>
    </row>
    <row r="144" spans="1:15">
      <c r="A144" s="50"/>
      <c r="B144" s="50"/>
      <c r="C144" s="51"/>
      <c r="D144" s="52"/>
      <c r="E144" s="46">
        <f t="shared" si="2"/>
        <v>0</v>
      </c>
      <c r="F144" s="50"/>
      <c r="G144" s="53"/>
      <c r="H144" s="50"/>
      <c r="I144" s="50"/>
      <c r="J144" s="54"/>
      <c r="K144" s="50"/>
      <c r="L144" s="50"/>
      <c r="M144" s="54"/>
      <c r="N144" s="50"/>
      <c r="O144" s="50"/>
    </row>
    <row r="145" spans="1:15">
      <c r="A145" s="45"/>
      <c r="B145" s="45"/>
      <c r="C145" s="46"/>
      <c r="D145" s="47"/>
      <c r="E145" s="46">
        <f t="shared" si="2"/>
        <v>0</v>
      </c>
      <c r="F145" s="45"/>
      <c r="G145" s="48"/>
      <c r="H145" s="45"/>
      <c r="I145" s="45"/>
      <c r="J145" s="49"/>
      <c r="K145" s="45"/>
      <c r="L145" s="45"/>
      <c r="M145" s="49"/>
      <c r="N145" s="45"/>
      <c r="O145" s="45"/>
    </row>
    <row r="146" spans="1:15">
      <c r="A146" s="50"/>
      <c r="B146" s="50"/>
      <c r="C146" s="51"/>
      <c r="D146" s="52"/>
      <c r="E146" s="46">
        <f t="shared" si="2"/>
        <v>0</v>
      </c>
      <c r="F146" s="50"/>
      <c r="G146" s="53"/>
      <c r="H146" s="50"/>
      <c r="I146" s="50"/>
      <c r="J146" s="54"/>
      <c r="K146" s="50"/>
      <c r="L146" s="50"/>
      <c r="M146" s="54"/>
      <c r="N146" s="50"/>
      <c r="O146" s="50"/>
    </row>
    <row r="147" spans="1:15">
      <c r="A147" s="45"/>
      <c r="B147" s="45"/>
      <c r="C147" s="46"/>
      <c r="D147" s="47"/>
      <c r="E147" s="46">
        <f t="shared" si="2"/>
        <v>0</v>
      </c>
      <c r="F147" s="45"/>
      <c r="G147" s="48"/>
      <c r="H147" s="45"/>
      <c r="I147" s="45"/>
      <c r="J147" s="49"/>
      <c r="K147" s="45"/>
      <c r="L147" s="45"/>
      <c r="M147" s="49"/>
      <c r="N147" s="45"/>
      <c r="O147" s="45"/>
    </row>
    <row r="148" spans="1:15">
      <c r="A148" s="50"/>
      <c r="B148" s="50"/>
      <c r="C148" s="51"/>
      <c r="D148" s="52"/>
      <c r="E148" s="46">
        <f t="shared" si="2"/>
        <v>0</v>
      </c>
      <c r="F148" s="50"/>
      <c r="G148" s="53"/>
      <c r="H148" s="50"/>
      <c r="I148" s="50"/>
      <c r="J148" s="54"/>
      <c r="K148" s="50"/>
      <c r="L148" s="50"/>
      <c r="M148" s="54"/>
      <c r="N148" s="50"/>
      <c r="O148" s="50"/>
    </row>
    <row r="149" spans="1:15">
      <c r="A149" s="45"/>
      <c r="B149" s="45"/>
      <c r="C149" s="46"/>
      <c r="D149" s="47"/>
      <c r="E149" s="46">
        <f t="shared" si="2"/>
        <v>0</v>
      </c>
      <c r="F149" s="45"/>
      <c r="G149" s="48"/>
      <c r="H149" s="45"/>
      <c r="I149" s="45"/>
      <c r="J149" s="49"/>
      <c r="K149" s="45"/>
      <c r="L149" s="45"/>
      <c r="M149" s="49"/>
      <c r="N149" s="45"/>
      <c r="O149" s="45"/>
    </row>
    <row r="150" spans="1:15">
      <c r="A150" s="50"/>
      <c r="B150" s="50"/>
      <c r="C150" s="51"/>
      <c r="D150" s="52"/>
      <c r="E150" s="46">
        <f t="shared" si="2"/>
        <v>0</v>
      </c>
      <c r="F150" s="50"/>
      <c r="G150" s="53"/>
      <c r="H150" s="50"/>
      <c r="I150" s="50"/>
      <c r="J150" s="54"/>
      <c r="K150" s="50"/>
      <c r="L150" s="50"/>
      <c r="M150" s="54"/>
      <c r="N150" s="50"/>
      <c r="O150" s="50"/>
    </row>
    <row r="151" spans="1:15">
      <c r="A151" s="45"/>
      <c r="B151" s="45"/>
      <c r="C151" s="46"/>
      <c r="D151" s="47"/>
      <c r="E151" s="46">
        <f t="shared" si="2"/>
        <v>0</v>
      </c>
      <c r="F151" s="45"/>
      <c r="G151" s="48"/>
      <c r="H151" s="45"/>
      <c r="I151" s="45"/>
      <c r="J151" s="49"/>
      <c r="K151" s="45"/>
      <c r="L151" s="45"/>
      <c r="M151" s="49"/>
      <c r="N151" s="45"/>
      <c r="O151" s="45"/>
    </row>
    <row r="152" spans="1:15">
      <c r="A152" s="50"/>
      <c r="B152" s="50"/>
      <c r="C152" s="51"/>
      <c r="D152" s="52"/>
      <c r="E152" s="46">
        <f t="shared" si="2"/>
        <v>0</v>
      </c>
      <c r="F152" s="50"/>
      <c r="G152" s="53"/>
      <c r="H152" s="50"/>
      <c r="I152" s="50"/>
      <c r="J152" s="54"/>
      <c r="K152" s="50"/>
      <c r="L152" s="50"/>
      <c r="M152" s="54"/>
      <c r="N152" s="50"/>
      <c r="O152" s="50"/>
    </row>
    <row r="153" spans="1:15">
      <c r="A153" s="45"/>
      <c r="B153" s="45"/>
      <c r="C153" s="46"/>
      <c r="D153" s="47"/>
      <c r="E153" s="46">
        <f t="shared" si="2"/>
        <v>0</v>
      </c>
      <c r="F153" s="45"/>
      <c r="G153" s="48"/>
      <c r="H153" s="45"/>
      <c r="I153" s="45"/>
      <c r="J153" s="49"/>
      <c r="K153" s="45"/>
      <c r="L153" s="45"/>
      <c r="M153" s="49"/>
      <c r="N153" s="45"/>
      <c r="O153" s="45"/>
    </row>
    <row r="154" spans="1:15">
      <c r="A154" s="50"/>
      <c r="B154" s="50"/>
      <c r="C154" s="51"/>
      <c r="D154" s="52"/>
      <c r="E154" s="46">
        <f t="shared" si="2"/>
        <v>0</v>
      </c>
      <c r="F154" s="50"/>
      <c r="G154" s="53"/>
      <c r="H154" s="50"/>
      <c r="I154" s="50"/>
      <c r="J154" s="54"/>
      <c r="K154" s="50"/>
      <c r="L154" s="50"/>
      <c r="M154" s="54"/>
      <c r="N154" s="50"/>
      <c r="O154" s="50"/>
    </row>
    <row r="155" spans="1:15">
      <c r="A155" s="45"/>
      <c r="B155" s="45"/>
      <c r="C155" s="46"/>
      <c r="D155" s="47"/>
      <c r="E155" s="46">
        <f t="shared" si="2"/>
        <v>0</v>
      </c>
      <c r="F155" s="45"/>
      <c r="G155" s="48"/>
      <c r="H155" s="45"/>
      <c r="I155" s="45"/>
      <c r="J155" s="49"/>
      <c r="K155" s="45"/>
      <c r="L155" s="45"/>
      <c r="M155" s="49"/>
      <c r="N155" s="45"/>
      <c r="O155" s="45"/>
    </row>
    <row r="156" spans="1:15">
      <c r="A156" s="50"/>
      <c r="B156" s="50"/>
      <c r="C156" s="51"/>
      <c r="D156" s="52"/>
      <c r="E156" s="46">
        <f t="shared" si="2"/>
        <v>0</v>
      </c>
      <c r="F156" s="50"/>
      <c r="G156" s="53"/>
      <c r="H156" s="50"/>
      <c r="I156" s="50"/>
      <c r="J156" s="54"/>
      <c r="K156" s="50"/>
      <c r="L156" s="50"/>
      <c r="M156" s="54"/>
      <c r="N156" s="50"/>
      <c r="O156" s="50"/>
    </row>
    <row r="157" spans="1:15">
      <c r="A157" s="45"/>
      <c r="B157" s="45"/>
      <c r="C157" s="46"/>
      <c r="D157" s="47"/>
      <c r="E157" s="46">
        <f t="shared" si="2"/>
        <v>0</v>
      </c>
      <c r="F157" s="45"/>
      <c r="G157" s="48"/>
      <c r="H157" s="45"/>
      <c r="I157" s="45"/>
      <c r="J157" s="49"/>
      <c r="K157" s="45"/>
      <c r="L157" s="45"/>
      <c r="M157" s="49"/>
      <c r="N157" s="45"/>
      <c r="O157" s="45"/>
    </row>
    <row r="158" spans="1:15">
      <c r="A158" s="50"/>
      <c r="B158" s="50"/>
      <c r="C158" s="51"/>
      <c r="D158" s="52"/>
      <c r="E158" s="46">
        <f t="shared" si="2"/>
        <v>0</v>
      </c>
      <c r="F158" s="50"/>
      <c r="G158" s="53"/>
      <c r="H158" s="50"/>
      <c r="I158" s="50"/>
      <c r="J158" s="54"/>
      <c r="K158" s="50"/>
      <c r="L158" s="50"/>
      <c r="M158" s="54"/>
      <c r="N158" s="50"/>
      <c r="O158" s="50"/>
    </row>
    <row r="159" spans="1:15">
      <c r="A159" s="45"/>
      <c r="B159" s="45"/>
      <c r="C159" s="46"/>
      <c r="D159" s="47"/>
      <c r="E159" s="46">
        <f t="shared" si="2"/>
        <v>0</v>
      </c>
      <c r="F159" s="45"/>
      <c r="G159" s="48"/>
      <c r="H159" s="45"/>
      <c r="I159" s="45"/>
      <c r="J159" s="49"/>
      <c r="K159" s="45"/>
      <c r="L159" s="45"/>
      <c r="M159" s="49"/>
      <c r="N159" s="45"/>
      <c r="O159" s="45"/>
    </row>
    <row r="160" spans="1:15">
      <c r="A160" s="50"/>
      <c r="B160" s="50"/>
      <c r="C160" s="51"/>
      <c r="D160" s="52"/>
      <c r="E160" s="46">
        <f t="shared" si="2"/>
        <v>0</v>
      </c>
      <c r="F160" s="50"/>
      <c r="G160" s="53"/>
      <c r="H160" s="50"/>
      <c r="I160" s="50"/>
      <c r="J160" s="54"/>
      <c r="K160" s="50"/>
      <c r="L160" s="50"/>
      <c r="M160" s="54"/>
      <c r="N160" s="50"/>
      <c r="O160" s="50"/>
    </row>
    <row r="161" spans="1:15">
      <c r="A161" s="45"/>
      <c r="B161" s="45"/>
      <c r="C161" s="46"/>
      <c r="D161" s="47"/>
      <c r="E161" s="46">
        <f t="shared" si="2"/>
        <v>0</v>
      </c>
      <c r="F161" s="45"/>
      <c r="G161" s="48"/>
      <c r="H161" s="45"/>
      <c r="I161" s="45"/>
      <c r="J161" s="49"/>
      <c r="K161" s="45"/>
      <c r="L161" s="45"/>
      <c r="M161" s="49"/>
      <c r="N161" s="45"/>
      <c r="O161" s="45"/>
    </row>
    <row r="162" spans="1:15">
      <c r="A162" s="50"/>
      <c r="B162" s="50"/>
      <c r="C162" s="51"/>
      <c r="D162" s="52"/>
      <c r="E162" s="46">
        <f t="shared" si="2"/>
        <v>0</v>
      </c>
      <c r="F162" s="50"/>
      <c r="G162" s="53"/>
      <c r="H162" s="50"/>
      <c r="I162" s="50"/>
      <c r="J162" s="54"/>
      <c r="K162" s="50"/>
      <c r="L162" s="50"/>
      <c r="M162" s="54"/>
      <c r="N162" s="50"/>
      <c r="O162" s="50"/>
    </row>
    <row r="163" spans="1:15">
      <c r="A163" s="45"/>
      <c r="B163" s="45"/>
      <c r="C163" s="46"/>
      <c r="D163" s="47"/>
      <c r="E163" s="46">
        <f t="shared" si="2"/>
        <v>0</v>
      </c>
      <c r="F163" s="45"/>
      <c r="G163" s="48"/>
      <c r="H163" s="45"/>
      <c r="I163" s="45"/>
      <c r="J163" s="49"/>
      <c r="K163" s="45"/>
      <c r="L163" s="45"/>
      <c r="M163" s="49"/>
      <c r="N163" s="45"/>
      <c r="O163" s="45"/>
    </row>
    <row r="164" spans="1:15">
      <c r="A164" s="50"/>
      <c r="B164" s="50"/>
      <c r="C164" s="51"/>
      <c r="D164" s="52"/>
      <c r="E164" s="46">
        <f t="shared" si="2"/>
        <v>0</v>
      </c>
      <c r="F164" s="50"/>
      <c r="G164" s="53"/>
      <c r="H164" s="50"/>
      <c r="I164" s="50"/>
      <c r="J164" s="54"/>
      <c r="K164" s="50"/>
      <c r="L164" s="50"/>
      <c r="M164" s="54"/>
      <c r="N164" s="50"/>
      <c r="O164" s="50"/>
    </row>
    <row r="165" spans="1:15">
      <c r="A165" s="45"/>
      <c r="B165" s="45"/>
      <c r="C165" s="46"/>
      <c r="D165" s="47"/>
      <c r="E165" s="46">
        <f t="shared" si="2"/>
        <v>0</v>
      </c>
      <c r="F165" s="45"/>
      <c r="G165" s="48"/>
      <c r="H165" s="45"/>
      <c r="I165" s="45"/>
      <c r="J165" s="49"/>
      <c r="K165" s="45"/>
      <c r="L165" s="45"/>
      <c r="M165" s="49"/>
      <c r="N165" s="45"/>
      <c r="O165" s="45"/>
    </row>
    <row r="166" spans="1:15">
      <c r="A166" s="50"/>
      <c r="B166" s="50"/>
      <c r="C166" s="51"/>
      <c r="D166" s="52"/>
      <c r="E166" s="46">
        <f t="shared" si="2"/>
        <v>0</v>
      </c>
      <c r="F166" s="50"/>
      <c r="G166" s="53"/>
      <c r="H166" s="50"/>
      <c r="I166" s="50"/>
      <c r="J166" s="54"/>
      <c r="K166" s="50"/>
      <c r="L166" s="50"/>
      <c r="M166" s="54"/>
      <c r="N166" s="50"/>
      <c r="O166" s="50"/>
    </row>
    <row r="167" spans="1:15">
      <c r="A167" s="45"/>
      <c r="B167" s="45"/>
      <c r="C167" s="46"/>
      <c r="D167" s="47"/>
      <c r="E167" s="46">
        <f t="shared" si="2"/>
        <v>0</v>
      </c>
      <c r="F167" s="45"/>
      <c r="G167" s="48"/>
      <c r="H167" s="45"/>
      <c r="I167" s="45"/>
      <c r="J167" s="49"/>
      <c r="K167" s="45"/>
      <c r="L167" s="45"/>
      <c r="M167" s="49"/>
      <c r="N167" s="45"/>
      <c r="O167" s="45"/>
    </row>
    <row r="168" spans="1:15">
      <c r="A168" s="50"/>
      <c r="B168" s="50"/>
      <c r="C168" s="51"/>
      <c r="D168" s="52"/>
      <c r="E168" s="46">
        <f t="shared" si="2"/>
        <v>0</v>
      </c>
      <c r="F168" s="50"/>
      <c r="G168" s="53"/>
      <c r="H168" s="50"/>
      <c r="I168" s="50"/>
      <c r="J168" s="54"/>
      <c r="K168" s="50"/>
      <c r="L168" s="50"/>
      <c r="M168" s="54"/>
      <c r="N168" s="50"/>
      <c r="O168" s="50"/>
    </row>
    <row r="169" spans="1:15">
      <c r="A169" s="45"/>
      <c r="B169" s="45"/>
      <c r="C169" s="46"/>
      <c r="D169" s="47"/>
      <c r="E169" s="46">
        <f t="shared" si="2"/>
        <v>0</v>
      </c>
      <c r="F169" s="45"/>
      <c r="G169" s="48"/>
      <c r="H169" s="45"/>
      <c r="I169" s="45"/>
      <c r="J169" s="49"/>
      <c r="K169" s="45"/>
      <c r="L169" s="45"/>
      <c r="M169" s="49"/>
      <c r="N169" s="45"/>
      <c r="O169" s="45"/>
    </row>
    <row r="170" spans="1:15">
      <c r="A170" s="50"/>
      <c r="B170" s="50"/>
      <c r="C170" s="51"/>
      <c r="D170" s="52"/>
      <c r="E170" s="46">
        <f t="shared" si="2"/>
        <v>0</v>
      </c>
      <c r="F170" s="50"/>
      <c r="G170" s="53"/>
      <c r="H170" s="50"/>
      <c r="I170" s="50"/>
      <c r="J170" s="54"/>
      <c r="K170" s="50"/>
      <c r="L170" s="50"/>
      <c r="M170" s="54"/>
      <c r="N170" s="50"/>
      <c r="O170" s="50"/>
    </row>
    <row r="171" spans="1:15">
      <c r="A171" s="45"/>
      <c r="B171" s="45"/>
      <c r="C171" s="46"/>
      <c r="D171" s="47"/>
      <c r="E171" s="46">
        <f t="shared" si="2"/>
        <v>0</v>
      </c>
      <c r="F171" s="45"/>
      <c r="G171" s="48"/>
      <c r="H171" s="45"/>
      <c r="I171" s="45"/>
      <c r="J171" s="49"/>
      <c r="K171" s="45"/>
      <c r="L171" s="45"/>
      <c r="M171" s="49"/>
      <c r="N171" s="45"/>
      <c r="O171" s="45"/>
    </row>
    <row r="172" spans="1:15">
      <c r="A172" s="50"/>
      <c r="B172" s="50"/>
      <c r="C172" s="51"/>
      <c r="D172" s="52"/>
      <c r="E172" s="46">
        <f t="shared" si="2"/>
        <v>0</v>
      </c>
      <c r="F172" s="50"/>
      <c r="G172" s="53"/>
      <c r="H172" s="50"/>
      <c r="I172" s="50"/>
      <c r="J172" s="54"/>
      <c r="K172" s="50"/>
      <c r="L172" s="50"/>
      <c r="M172" s="54"/>
      <c r="N172" s="50"/>
      <c r="O172" s="50"/>
    </row>
    <row r="173" spans="1:15">
      <c r="A173" s="45"/>
      <c r="B173" s="45"/>
      <c r="C173" s="46"/>
      <c r="D173" s="47"/>
      <c r="E173" s="46">
        <f t="shared" si="2"/>
        <v>0</v>
      </c>
      <c r="F173" s="45"/>
      <c r="G173" s="48"/>
      <c r="H173" s="45"/>
      <c r="I173" s="45"/>
      <c r="J173" s="49"/>
      <c r="K173" s="45"/>
      <c r="L173" s="45"/>
      <c r="M173" s="49"/>
      <c r="N173" s="45"/>
      <c r="O173" s="45"/>
    </row>
    <row r="174" spans="1:15">
      <c r="A174" s="50"/>
      <c r="B174" s="50"/>
      <c r="C174" s="51"/>
      <c r="D174" s="52"/>
      <c r="E174" s="46">
        <f t="shared" si="2"/>
        <v>0</v>
      </c>
      <c r="F174" s="50"/>
      <c r="G174" s="53"/>
      <c r="H174" s="50"/>
      <c r="I174" s="50"/>
      <c r="J174" s="54"/>
      <c r="K174" s="50"/>
      <c r="L174" s="50"/>
      <c r="M174" s="54"/>
      <c r="N174" s="50"/>
      <c r="O174" s="50"/>
    </row>
    <row r="175" spans="1:15">
      <c r="A175" s="45"/>
      <c r="B175" s="45"/>
      <c r="C175" s="46"/>
      <c r="D175" s="47"/>
      <c r="E175" s="46">
        <f t="shared" si="2"/>
        <v>0</v>
      </c>
      <c r="F175" s="45"/>
      <c r="G175" s="48"/>
      <c r="H175" s="45"/>
      <c r="I175" s="45"/>
      <c r="J175" s="49"/>
      <c r="K175" s="45"/>
      <c r="L175" s="45"/>
      <c r="M175" s="49"/>
      <c r="N175" s="45"/>
      <c r="O175" s="45"/>
    </row>
    <row r="176" spans="1:15">
      <c r="A176" s="50"/>
      <c r="B176" s="50"/>
      <c r="C176" s="51"/>
      <c r="D176" s="52"/>
      <c r="E176" s="46">
        <f t="shared" si="2"/>
        <v>0</v>
      </c>
      <c r="F176" s="50"/>
      <c r="G176" s="53"/>
      <c r="H176" s="50"/>
      <c r="I176" s="50"/>
      <c r="J176" s="54"/>
      <c r="K176" s="50"/>
      <c r="L176" s="50"/>
      <c r="M176" s="54"/>
      <c r="N176" s="50"/>
      <c r="O176" s="50"/>
    </row>
    <row r="177" spans="1:15">
      <c r="A177" s="45"/>
      <c r="B177" s="45"/>
      <c r="C177" s="46"/>
      <c r="D177" s="47"/>
      <c r="E177" s="46">
        <f t="shared" si="2"/>
        <v>0</v>
      </c>
      <c r="F177" s="45"/>
      <c r="G177" s="48"/>
      <c r="H177" s="45"/>
      <c r="I177" s="45"/>
      <c r="J177" s="49"/>
      <c r="K177" s="45"/>
      <c r="L177" s="45"/>
      <c r="M177" s="49"/>
      <c r="N177" s="45"/>
      <c r="O177" s="45"/>
    </row>
    <row r="178" spans="1:15">
      <c r="A178" s="50"/>
      <c r="B178" s="50"/>
      <c r="C178" s="51"/>
      <c r="D178" s="52"/>
      <c r="E178" s="46">
        <f t="shared" si="2"/>
        <v>0</v>
      </c>
      <c r="F178" s="50"/>
      <c r="G178" s="53"/>
      <c r="H178" s="50"/>
      <c r="I178" s="50"/>
      <c r="J178" s="54"/>
      <c r="K178" s="50"/>
      <c r="L178" s="50"/>
      <c r="M178" s="54"/>
      <c r="N178" s="50"/>
      <c r="O178" s="50"/>
    </row>
    <row r="179" spans="1:15">
      <c r="A179" s="45"/>
      <c r="B179" s="45"/>
      <c r="C179" s="46"/>
      <c r="D179" s="47"/>
      <c r="E179" s="46">
        <f t="shared" si="2"/>
        <v>0</v>
      </c>
      <c r="F179" s="45"/>
      <c r="G179" s="48"/>
      <c r="H179" s="45"/>
      <c r="I179" s="45"/>
      <c r="J179" s="49"/>
      <c r="K179" s="45"/>
      <c r="L179" s="45"/>
      <c r="M179" s="49"/>
      <c r="N179" s="45"/>
      <c r="O179" s="45"/>
    </row>
    <row r="180" spans="1:15">
      <c r="A180" s="50"/>
      <c r="B180" s="50"/>
      <c r="C180" s="51"/>
      <c r="D180" s="52"/>
      <c r="E180" s="46">
        <f t="shared" si="2"/>
        <v>0</v>
      </c>
      <c r="F180" s="50"/>
      <c r="G180" s="53"/>
      <c r="H180" s="50"/>
      <c r="I180" s="50"/>
      <c r="J180" s="54"/>
      <c r="K180" s="50"/>
      <c r="L180" s="50"/>
      <c r="M180" s="54"/>
      <c r="N180" s="50"/>
      <c r="O180" s="50"/>
    </row>
    <row r="181" spans="1:15">
      <c r="A181" s="45"/>
      <c r="B181" s="45"/>
      <c r="C181" s="46"/>
      <c r="D181" s="47"/>
      <c r="E181" s="46">
        <f t="shared" si="2"/>
        <v>0</v>
      </c>
      <c r="F181" s="45"/>
      <c r="G181" s="48"/>
      <c r="H181" s="45"/>
      <c r="I181" s="45"/>
      <c r="J181" s="49"/>
      <c r="K181" s="45"/>
      <c r="L181" s="45"/>
      <c r="M181" s="49"/>
      <c r="N181" s="45"/>
      <c r="O181" s="45"/>
    </row>
    <row r="182" spans="1:15">
      <c r="A182" s="50"/>
      <c r="B182" s="50"/>
      <c r="C182" s="51"/>
      <c r="D182" s="52"/>
      <c r="E182" s="46">
        <f t="shared" si="2"/>
        <v>0</v>
      </c>
      <c r="F182" s="50"/>
      <c r="G182" s="53"/>
      <c r="H182" s="50"/>
      <c r="I182" s="50"/>
      <c r="J182" s="54"/>
      <c r="K182" s="50"/>
      <c r="L182" s="50"/>
      <c r="M182" s="54"/>
      <c r="N182" s="50"/>
      <c r="O182" s="50"/>
    </row>
    <row r="183" spans="1:15">
      <c r="A183" s="45"/>
      <c r="B183" s="45"/>
      <c r="C183" s="46"/>
      <c r="D183" s="47"/>
      <c r="E183" s="46">
        <f t="shared" si="2"/>
        <v>0</v>
      </c>
      <c r="F183" s="45"/>
      <c r="G183" s="48"/>
      <c r="H183" s="45"/>
      <c r="I183" s="45"/>
      <c r="J183" s="49"/>
      <c r="K183" s="45"/>
      <c r="L183" s="45"/>
      <c r="M183" s="49"/>
      <c r="N183" s="45"/>
      <c r="O183" s="45"/>
    </row>
    <row r="184" spans="1:15">
      <c r="A184" s="50"/>
      <c r="B184" s="50"/>
      <c r="C184" s="51"/>
      <c r="D184" s="52"/>
      <c r="E184" s="46">
        <f t="shared" si="2"/>
        <v>0</v>
      </c>
      <c r="F184" s="50"/>
      <c r="G184" s="53"/>
      <c r="H184" s="50"/>
      <c r="I184" s="50"/>
      <c r="J184" s="54"/>
      <c r="K184" s="50"/>
      <c r="L184" s="50"/>
      <c r="M184" s="54"/>
      <c r="N184" s="50"/>
      <c r="O184" s="50"/>
    </row>
    <row r="185" spans="1:15">
      <c r="A185" s="45"/>
      <c r="B185" s="45"/>
      <c r="C185" s="46"/>
      <c r="D185" s="47"/>
      <c r="E185" s="46">
        <f t="shared" si="2"/>
        <v>0</v>
      </c>
      <c r="F185" s="45"/>
      <c r="G185" s="48"/>
      <c r="H185" s="45"/>
      <c r="I185" s="45"/>
      <c r="J185" s="49"/>
      <c r="K185" s="45"/>
      <c r="L185" s="45"/>
      <c r="M185" s="49"/>
      <c r="N185" s="45"/>
      <c r="O185" s="45"/>
    </row>
    <row r="186" spans="1:15">
      <c r="A186" s="50"/>
      <c r="B186" s="50"/>
      <c r="C186" s="51"/>
      <c r="D186" s="52"/>
      <c r="E186" s="46">
        <f t="shared" si="2"/>
        <v>0</v>
      </c>
      <c r="F186" s="50"/>
      <c r="G186" s="53"/>
      <c r="H186" s="50"/>
      <c r="I186" s="50"/>
      <c r="J186" s="54"/>
      <c r="K186" s="50"/>
      <c r="L186" s="50"/>
      <c r="M186" s="54"/>
      <c r="N186" s="50"/>
      <c r="O186" s="50"/>
    </row>
    <row r="187" spans="1:15">
      <c r="A187" s="45"/>
      <c r="B187" s="45"/>
      <c r="C187" s="46"/>
      <c r="D187" s="47"/>
      <c r="E187" s="46">
        <f t="shared" si="2"/>
        <v>0</v>
      </c>
      <c r="F187" s="45"/>
      <c r="G187" s="48"/>
      <c r="H187" s="45"/>
      <c r="I187" s="45"/>
      <c r="J187" s="49"/>
      <c r="K187" s="45"/>
      <c r="L187" s="45"/>
      <c r="M187" s="49"/>
      <c r="N187" s="45"/>
      <c r="O187" s="45"/>
    </row>
    <row r="188" spans="1:15">
      <c r="A188" s="50"/>
      <c r="B188" s="50"/>
      <c r="C188" s="51"/>
      <c r="D188" s="52"/>
      <c r="E188" s="46">
        <f t="shared" si="2"/>
        <v>0</v>
      </c>
      <c r="F188" s="50"/>
      <c r="G188" s="53"/>
      <c r="H188" s="50"/>
      <c r="I188" s="50"/>
      <c r="J188" s="54"/>
      <c r="K188" s="50"/>
      <c r="L188" s="50"/>
      <c r="M188" s="54"/>
      <c r="N188" s="50"/>
      <c r="O188" s="50"/>
    </row>
    <row r="189" spans="1:15">
      <c r="A189" s="45"/>
      <c r="B189" s="45"/>
      <c r="C189" s="46"/>
      <c r="D189" s="47"/>
      <c r="E189" s="46">
        <f t="shared" si="2"/>
        <v>0</v>
      </c>
      <c r="F189" s="45"/>
      <c r="G189" s="48"/>
      <c r="H189" s="45"/>
      <c r="I189" s="45"/>
      <c r="J189" s="49"/>
      <c r="K189" s="45"/>
      <c r="L189" s="45"/>
      <c r="M189" s="49"/>
      <c r="N189" s="45"/>
      <c r="O189" s="45"/>
    </row>
    <row r="190" spans="1:15">
      <c r="A190" s="50"/>
      <c r="B190" s="50"/>
      <c r="C190" s="51"/>
      <c r="D190" s="52"/>
      <c r="E190" s="46">
        <f t="shared" si="2"/>
        <v>0</v>
      </c>
      <c r="F190" s="50"/>
      <c r="G190" s="53"/>
      <c r="H190" s="50"/>
      <c r="I190" s="50"/>
      <c r="J190" s="54"/>
      <c r="K190" s="50"/>
      <c r="L190" s="50"/>
      <c r="M190" s="54"/>
      <c r="N190" s="50"/>
      <c r="O190" s="50"/>
    </row>
    <row r="191" spans="1:15">
      <c r="A191" s="45"/>
      <c r="B191" s="45"/>
      <c r="C191" s="46"/>
      <c r="D191" s="47"/>
      <c r="E191" s="46">
        <f t="shared" si="2"/>
        <v>0</v>
      </c>
      <c r="F191" s="45"/>
      <c r="G191" s="48"/>
      <c r="H191" s="45"/>
      <c r="I191" s="45"/>
      <c r="J191" s="49"/>
      <c r="K191" s="45"/>
      <c r="L191" s="45"/>
      <c r="M191" s="49"/>
      <c r="N191" s="45"/>
      <c r="O191" s="45"/>
    </row>
    <row r="192" spans="1:15">
      <c r="A192" s="50"/>
      <c r="B192" s="50"/>
      <c r="C192" s="51"/>
      <c r="D192" s="52"/>
      <c r="E192" s="46">
        <f t="shared" si="2"/>
        <v>0</v>
      </c>
      <c r="F192" s="50"/>
      <c r="G192" s="53"/>
      <c r="H192" s="50"/>
      <c r="I192" s="50"/>
      <c r="J192" s="54"/>
      <c r="K192" s="50"/>
      <c r="L192" s="50"/>
      <c r="M192" s="54"/>
      <c r="N192" s="50"/>
      <c r="O192" s="50"/>
    </row>
    <row r="193" spans="1:15">
      <c r="A193" s="45"/>
      <c r="B193" s="45"/>
      <c r="C193" s="46"/>
      <c r="D193" s="47"/>
      <c r="E193" s="46">
        <f t="shared" si="2"/>
        <v>0</v>
      </c>
      <c r="F193" s="45"/>
      <c r="G193" s="48"/>
      <c r="H193" s="45"/>
      <c r="I193" s="45"/>
      <c r="J193" s="49"/>
      <c r="K193" s="45"/>
      <c r="L193" s="45"/>
      <c r="M193" s="49"/>
      <c r="N193" s="45"/>
      <c r="O193" s="45"/>
    </row>
    <row r="194" spans="1:15">
      <c r="A194" s="50"/>
      <c r="B194" s="50"/>
      <c r="C194" s="51"/>
      <c r="D194" s="52"/>
      <c r="E194" s="46">
        <f t="shared" si="2"/>
        <v>0</v>
      </c>
      <c r="F194" s="50"/>
      <c r="G194" s="53"/>
      <c r="H194" s="50"/>
      <c r="I194" s="50"/>
      <c r="J194" s="54"/>
      <c r="K194" s="50"/>
      <c r="L194" s="50"/>
      <c r="M194" s="54"/>
      <c r="N194" s="50"/>
      <c r="O194" s="50"/>
    </row>
    <row r="195" spans="1:15">
      <c r="A195" s="45"/>
      <c r="B195" s="45"/>
      <c r="C195" s="46"/>
      <c r="D195" s="47"/>
      <c r="E195" s="46">
        <f t="shared" si="2"/>
        <v>0</v>
      </c>
      <c r="F195" s="45"/>
      <c r="G195" s="48"/>
      <c r="H195" s="45"/>
      <c r="I195" s="45"/>
      <c r="J195" s="49"/>
      <c r="K195" s="45"/>
      <c r="L195" s="45"/>
      <c r="M195" s="49"/>
      <c r="N195" s="45"/>
      <c r="O195" s="45"/>
    </row>
    <row r="196" spans="1:15">
      <c r="A196" s="50"/>
      <c r="B196" s="50"/>
      <c r="C196" s="51"/>
      <c r="D196" s="52"/>
      <c r="E196" s="46">
        <f t="shared" si="2"/>
        <v>0</v>
      </c>
      <c r="F196" s="50"/>
      <c r="G196" s="53"/>
      <c r="H196" s="50"/>
      <c r="I196" s="50"/>
      <c r="J196" s="54"/>
      <c r="K196" s="50"/>
      <c r="L196" s="50"/>
      <c r="M196" s="54"/>
      <c r="N196" s="50"/>
      <c r="O196" s="50"/>
    </row>
    <row r="197" spans="1:15">
      <c r="A197" s="45"/>
      <c r="B197" s="45"/>
      <c r="C197" s="46"/>
      <c r="D197" s="47"/>
      <c r="E197" s="46">
        <f t="shared" ref="E197:E260" si="3">D197*C197</f>
        <v>0</v>
      </c>
      <c r="F197" s="45"/>
      <c r="G197" s="48"/>
      <c r="H197" s="45"/>
      <c r="I197" s="45"/>
      <c r="J197" s="49"/>
      <c r="K197" s="45"/>
      <c r="L197" s="45"/>
      <c r="M197" s="49"/>
      <c r="N197" s="45"/>
      <c r="O197" s="45"/>
    </row>
    <row r="198" spans="1:15">
      <c r="A198" s="50"/>
      <c r="B198" s="50"/>
      <c r="C198" s="51"/>
      <c r="D198" s="52"/>
      <c r="E198" s="46">
        <f t="shared" si="3"/>
        <v>0</v>
      </c>
      <c r="F198" s="50"/>
      <c r="G198" s="53"/>
      <c r="H198" s="50"/>
      <c r="I198" s="50"/>
      <c r="J198" s="54"/>
      <c r="K198" s="50"/>
      <c r="L198" s="50"/>
      <c r="M198" s="54"/>
      <c r="N198" s="50"/>
      <c r="O198" s="50"/>
    </row>
    <row r="199" spans="1:15">
      <c r="A199" s="45"/>
      <c r="B199" s="45"/>
      <c r="C199" s="46"/>
      <c r="D199" s="47"/>
      <c r="E199" s="46">
        <f t="shared" si="3"/>
        <v>0</v>
      </c>
      <c r="F199" s="45"/>
      <c r="G199" s="48"/>
      <c r="H199" s="45"/>
      <c r="I199" s="45"/>
      <c r="J199" s="49"/>
      <c r="K199" s="45"/>
      <c r="L199" s="45"/>
      <c r="M199" s="49"/>
      <c r="N199" s="45"/>
      <c r="O199" s="45"/>
    </row>
    <row r="200" spans="1:15">
      <c r="A200" s="50"/>
      <c r="B200" s="50"/>
      <c r="C200" s="51"/>
      <c r="D200" s="52"/>
      <c r="E200" s="46">
        <f t="shared" si="3"/>
        <v>0</v>
      </c>
      <c r="F200" s="50"/>
      <c r="G200" s="53"/>
      <c r="H200" s="50"/>
      <c r="I200" s="50"/>
      <c r="J200" s="54"/>
      <c r="K200" s="50"/>
      <c r="L200" s="50"/>
      <c r="M200" s="54"/>
      <c r="N200" s="50"/>
      <c r="O200" s="50"/>
    </row>
    <row r="201" spans="1:15">
      <c r="A201" s="45"/>
      <c r="B201" s="45"/>
      <c r="C201" s="46"/>
      <c r="D201" s="47"/>
      <c r="E201" s="46">
        <f t="shared" si="3"/>
        <v>0</v>
      </c>
      <c r="F201" s="45"/>
      <c r="G201" s="48"/>
      <c r="H201" s="45"/>
      <c r="I201" s="45"/>
      <c r="J201" s="49"/>
      <c r="K201" s="45"/>
      <c r="L201" s="45"/>
      <c r="M201" s="49"/>
      <c r="N201" s="45"/>
      <c r="O201" s="45"/>
    </row>
    <row r="202" spans="1:15">
      <c r="A202" s="50"/>
      <c r="B202" s="50"/>
      <c r="C202" s="51"/>
      <c r="D202" s="52"/>
      <c r="E202" s="46">
        <f t="shared" si="3"/>
        <v>0</v>
      </c>
      <c r="F202" s="50"/>
      <c r="G202" s="53"/>
      <c r="H202" s="50"/>
      <c r="I202" s="50"/>
      <c r="J202" s="54"/>
      <c r="K202" s="50"/>
      <c r="L202" s="50"/>
      <c r="M202" s="54"/>
      <c r="N202" s="50"/>
      <c r="O202" s="50"/>
    </row>
    <row r="203" spans="1:15">
      <c r="A203" s="45"/>
      <c r="B203" s="45"/>
      <c r="C203" s="46"/>
      <c r="D203" s="47"/>
      <c r="E203" s="46">
        <f t="shared" si="3"/>
        <v>0</v>
      </c>
      <c r="F203" s="45"/>
      <c r="G203" s="48"/>
      <c r="H203" s="45"/>
      <c r="I203" s="45"/>
      <c r="J203" s="49"/>
      <c r="K203" s="45"/>
      <c r="L203" s="45"/>
      <c r="M203" s="49"/>
      <c r="N203" s="45"/>
      <c r="O203" s="45"/>
    </row>
    <row r="204" spans="1:15">
      <c r="A204" s="50"/>
      <c r="B204" s="50"/>
      <c r="C204" s="51"/>
      <c r="D204" s="52"/>
      <c r="E204" s="46">
        <f t="shared" si="3"/>
        <v>0</v>
      </c>
      <c r="F204" s="50"/>
      <c r="G204" s="53"/>
      <c r="H204" s="50"/>
      <c r="I204" s="50"/>
      <c r="J204" s="54"/>
      <c r="K204" s="50"/>
      <c r="L204" s="50"/>
      <c r="M204" s="54"/>
      <c r="N204" s="50"/>
      <c r="O204" s="50"/>
    </row>
    <row r="205" spans="1:15">
      <c r="A205" s="45"/>
      <c r="B205" s="45"/>
      <c r="C205" s="46"/>
      <c r="D205" s="47"/>
      <c r="E205" s="46">
        <f t="shared" si="3"/>
        <v>0</v>
      </c>
      <c r="F205" s="45"/>
      <c r="G205" s="48"/>
      <c r="H205" s="45"/>
      <c r="I205" s="45"/>
      <c r="J205" s="49"/>
      <c r="K205" s="45"/>
      <c r="L205" s="45"/>
      <c r="M205" s="49"/>
      <c r="N205" s="45"/>
      <c r="O205" s="45"/>
    </row>
    <row r="206" spans="1:15">
      <c r="A206" s="50"/>
      <c r="B206" s="50"/>
      <c r="C206" s="51"/>
      <c r="D206" s="52"/>
      <c r="E206" s="46">
        <f t="shared" si="3"/>
        <v>0</v>
      </c>
      <c r="F206" s="50"/>
      <c r="G206" s="53"/>
      <c r="H206" s="50"/>
      <c r="I206" s="50"/>
      <c r="J206" s="54"/>
      <c r="K206" s="50"/>
      <c r="L206" s="50"/>
      <c r="M206" s="54"/>
      <c r="N206" s="50"/>
      <c r="O206" s="50"/>
    </row>
    <row r="207" spans="1:15">
      <c r="A207" s="45"/>
      <c r="B207" s="45"/>
      <c r="C207" s="46"/>
      <c r="D207" s="47"/>
      <c r="E207" s="46">
        <f t="shared" si="3"/>
        <v>0</v>
      </c>
      <c r="F207" s="45"/>
      <c r="G207" s="48"/>
      <c r="H207" s="45"/>
      <c r="I207" s="45"/>
      <c r="J207" s="49"/>
      <c r="K207" s="45"/>
      <c r="L207" s="45"/>
      <c r="M207" s="49"/>
      <c r="N207" s="45"/>
      <c r="O207" s="45"/>
    </row>
    <row r="208" spans="1:15">
      <c r="A208" s="50"/>
      <c r="B208" s="50"/>
      <c r="C208" s="51"/>
      <c r="D208" s="52"/>
      <c r="E208" s="46">
        <f t="shared" si="3"/>
        <v>0</v>
      </c>
      <c r="F208" s="50"/>
      <c r="G208" s="53"/>
      <c r="H208" s="50"/>
      <c r="I208" s="50"/>
      <c r="J208" s="54"/>
      <c r="K208" s="50"/>
      <c r="L208" s="50"/>
      <c r="M208" s="54"/>
      <c r="N208" s="50"/>
      <c r="O208" s="50"/>
    </row>
    <row r="209" spans="1:15">
      <c r="A209" s="45"/>
      <c r="B209" s="45"/>
      <c r="C209" s="46"/>
      <c r="D209" s="47"/>
      <c r="E209" s="46">
        <f t="shared" si="3"/>
        <v>0</v>
      </c>
      <c r="F209" s="45"/>
      <c r="G209" s="48"/>
      <c r="H209" s="45"/>
      <c r="I209" s="45"/>
      <c r="J209" s="49"/>
      <c r="K209" s="45"/>
      <c r="L209" s="45"/>
      <c r="M209" s="49"/>
      <c r="N209" s="45"/>
      <c r="O209" s="45"/>
    </row>
    <row r="210" spans="1:15">
      <c r="A210" s="50"/>
      <c r="B210" s="50"/>
      <c r="C210" s="51"/>
      <c r="D210" s="52"/>
      <c r="E210" s="46">
        <f t="shared" si="3"/>
        <v>0</v>
      </c>
      <c r="F210" s="50"/>
      <c r="G210" s="53"/>
      <c r="H210" s="50"/>
      <c r="I210" s="50"/>
      <c r="J210" s="54"/>
      <c r="K210" s="50"/>
      <c r="L210" s="50"/>
      <c r="M210" s="54"/>
      <c r="N210" s="50"/>
      <c r="O210" s="50"/>
    </row>
    <row r="211" spans="1:15">
      <c r="A211" s="45"/>
      <c r="B211" s="45"/>
      <c r="C211" s="46"/>
      <c r="D211" s="47"/>
      <c r="E211" s="46">
        <f t="shared" si="3"/>
        <v>0</v>
      </c>
      <c r="F211" s="45"/>
      <c r="G211" s="48"/>
      <c r="H211" s="45"/>
      <c r="I211" s="45"/>
      <c r="J211" s="49"/>
      <c r="K211" s="45"/>
      <c r="L211" s="45"/>
      <c r="M211" s="49"/>
      <c r="N211" s="45"/>
      <c r="O211" s="45"/>
    </row>
    <row r="212" spans="1:15">
      <c r="A212" s="50"/>
      <c r="B212" s="50"/>
      <c r="C212" s="51"/>
      <c r="D212" s="52"/>
      <c r="E212" s="46">
        <f t="shared" si="3"/>
        <v>0</v>
      </c>
      <c r="F212" s="50"/>
      <c r="G212" s="53"/>
      <c r="H212" s="50"/>
      <c r="I212" s="50"/>
      <c r="J212" s="54"/>
      <c r="K212" s="50"/>
      <c r="L212" s="50"/>
      <c r="M212" s="54"/>
      <c r="N212" s="50"/>
      <c r="O212" s="50"/>
    </row>
    <row r="213" spans="1:15">
      <c r="A213" s="45"/>
      <c r="B213" s="45"/>
      <c r="C213" s="46"/>
      <c r="D213" s="47"/>
      <c r="E213" s="46">
        <f t="shared" si="3"/>
        <v>0</v>
      </c>
      <c r="F213" s="45"/>
      <c r="G213" s="48"/>
      <c r="H213" s="45"/>
      <c r="I213" s="45"/>
      <c r="J213" s="49"/>
      <c r="K213" s="45"/>
      <c r="L213" s="45"/>
      <c r="M213" s="49"/>
      <c r="N213" s="45"/>
      <c r="O213" s="45"/>
    </row>
    <row r="214" spans="1:15">
      <c r="A214" s="50"/>
      <c r="B214" s="50"/>
      <c r="C214" s="51"/>
      <c r="D214" s="52"/>
      <c r="E214" s="46">
        <f t="shared" si="3"/>
        <v>0</v>
      </c>
      <c r="F214" s="50"/>
      <c r="G214" s="53"/>
      <c r="H214" s="50"/>
      <c r="I214" s="50"/>
      <c r="J214" s="54"/>
      <c r="K214" s="50"/>
      <c r="L214" s="50"/>
      <c r="M214" s="54"/>
      <c r="N214" s="50"/>
      <c r="O214" s="50"/>
    </row>
    <row r="215" spans="1:15">
      <c r="A215" s="45"/>
      <c r="B215" s="45"/>
      <c r="C215" s="46"/>
      <c r="D215" s="47"/>
      <c r="E215" s="46">
        <f t="shared" si="3"/>
        <v>0</v>
      </c>
      <c r="F215" s="45"/>
      <c r="G215" s="48"/>
      <c r="H215" s="45"/>
      <c r="I215" s="45"/>
      <c r="J215" s="49"/>
      <c r="K215" s="45"/>
      <c r="L215" s="45"/>
      <c r="M215" s="49"/>
      <c r="N215" s="45"/>
      <c r="O215" s="45"/>
    </row>
    <row r="216" spans="1:15">
      <c r="A216" s="50"/>
      <c r="B216" s="50"/>
      <c r="C216" s="51"/>
      <c r="D216" s="52"/>
      <c r="E216" s="46">
        <f t="shared" si="3"/>
        <v>0</v>
      </c>
      <c r="F216" s="50"/>
      <c r="G216" s="53"/>
      <c r="H216" s="50"/>
      <c r="I216" s="50"/>
      <c r="J216" s="54"/>
      <c r="K216" s="50"/>
      <c r="L216" s="50"/>
      <c r="M216" s="54"/>
      <c r="N216" s="50"/>
      <c r="O216" s="50"/>
    </row>
    <row r="217" spans="1:15">
      <c r="A217" s="45"/>
      <c r="B217" s="45"/>
      <c r="C217" s="46"/>
      <c r="D217" s="47"/>
      <c r="E217" s="46">
        <f t="shared" si="3"/>
        <v>0</v>
      </c>
      <c r="F217" s="45"/>
      <c r="G217" s="48"/>
      <c r="H217" s="45"/>
      <c r="I217" s="45"/>
      <c r="J217" s="49"/>
      <c r="K217" s="45"/>
      <c r="L217" s="45"/>
      <c r="M217" s="49"/>
      <c r="N217" s="45"/>
      <c r="O217" s="45"/>
    </row>
    <row r="218" spans="1:15">
      <c r="A218" s="50"/>
      <c r="B218" s="50"/>
      <c r="C218" s="51"/>
      <c r="D218" s="52"/>
      <c r="E218" s="46">
        <f t="shared" si="3"/>
        <v>0</v>
      </c>
      <c r="F218" s="50"/>
      <c r="G218" s="53"/>
      <c r="H218" s="50"/>
      <c r="I218" s="50"/>
      <c r="J218" s="54"/>
      <c r="K218" s="50"/>
      <c r="L218" s="50"/>
      <c r="M218" s="54"/>
      <c r="N218" s="50"/>
      <c r="O218" s="50"/>
    </row>
    <row r="219" spans="1:15">
      <c r="A219" s="45"/>
      <c r="B219" s="45"/>
      <c r="C219" s="46"/>
      <c r="D219" s="47"/>
      <c r="E219" s="46">
        <f t="shared" si="3"/>
        <v>0</v>
      </c>
      <c r="F219" s="45"/>
      <c r="G219" s="48"/>
      <c r="H219" s="45"/>
      <c r="I219" s="45"/>
      <c r="J219" s="49"/>
      <c r="K219" s="45"/>
      <c r="L219" s="45"/>
      <c r="M219" s="49"/>
      <c r="N219" s="45"/>
      <c r="O219" s="45"/>
    </row>
    <row r="220" spans="1:15">
      <c r="A220" s="50"/>
      <c r="B220" s="50"/>
      <c r="C220" s="51"/>
      <c r="D220" s="52"/>
      <c r="E220" s="46">
        <f t="shared" si="3"/>
        <v>0</v>
      </c>
      <c r="F220" s="50"/>
      <c r="G220" s="53"/>
      <c r="H220" s="50"/>
      <c r="I220" s="50"/>
      <c r="J220" s="54"/>
      <c r="K220" s="50"/>
      <c r="L220" s="50"/>
      <c r="M220" s="54"/>
      <c r="N220" s="50"/>
      <c r="O220" s="50"/>
    </row>
    <row r="221" spans="1:15">
      <c r="A221" s="45"/>
      <c r="B221" s="45"/>
      <c r="C221" s="46"/>
      <c r="D221" s="47"/>
      <c r="E221" s="46">
        <f t="shared" si="3"/>
        <v>0</v>
      </c>
      <c r="F221" s="45"/>
      <c r="G221" s="48"/>
      <c r="H221" s="45"/>
      <c r="I221" s="45"/>
      <c r="J221" s="49"/>
      <c r="K221" s="45"/>
      <c r="L221" s="45"/>
      <c r="M221" s="49"/>
      <c r="N221" s="45"/>
      <c r="O221" s="45"/>
    </row>
    <row r="222" spans="1:15">
      <c r="A222" s="50"/>
      <c r="B222" s="50"/>
      <c r="C222" s="51"/>
      <c r="D222" s="52"/>
      <c r="E222" s="46">
        <f t="shared" si="3"/>
        <v>0</v>
      </c>
      <c r="F222" s="50"/>
      <c r="G222" s="53"/>
      <c r="H222" s="50"/>
      <c r="I222" s="50"/>
      <c r="J222" s="54"/>
      <c r="K222" s="50"/>
      <c r="L222" s="50"/>
      <c r="M222" s="54"/>
      <c r="N222" s="50"/>
      <c r="O222" s="50"/>
    </row>
    <row r="223" spans="1:15">
      <c r="A223" s="45"/>
      <c r="B223" s="45"/>
      <c r="C223" s="46"/>
      <c r="D223" s="47"/>
      <c r="E223" s="46">
        <f t="shared" si="3"/>
        <v>0</v>
      </c>
      <c r="F223" s="45"/>
      <c r="G223" s="48"/>
      <c r="H223" s="45"/>
      <c r="I223" s="45"/>
      <c r="J223" s="49"/>
      <c r="K223" s="45"/>
      <c r="L223" s="45"/>
      <c r="M223" s="49"/>
      <c r="N223" s="45"/>
      <c r="O223" s="45"/>
    </row>
    <row r="224" spans="1:15">
      <c r="A224" s="50"/>
      <c r="B224" s="50"/>
      <c r="C224" s="51"/>
      <c r="D224" s="52"/>
      <c r="E224" s="46">
        <f t="shared" si="3"/>
        <v>0</v>
      </c>
      <c r="F224" s="50"/>
      <c r="G224" s="53"/>
      <c r="H224" s="50"/>
      <c r="I224" s="50"/>
      <c r="J224" s="54"/>
      <c r="K224" s="50"/>
      <c r="L224" s="50"/>
      <c r="M224" s="54"/>
      <c r="N224" s="50"/>
      <c r="O224" s="50"/>
    </row>
    <row r="225" spans="1:15">
      <c r="A225" s="45"/>
      <c r="B225" s="45"/>
      <c r="C225" s="46"/>
      <c r="D225" s="47"/>
      <c r="E225" s="46">
        <f t="shared" si="3"/>
        <v>0</v>
      </c>
      <c r="F225" s="45"/>
      <c r="G225" s="48"/>
      <c r="H225" s="45"/>
      <c r="I225" s="45"/>
      <c r="J225" s="49"/>
      <c r="K225" s="45"/>
      <c r="L225" s="45"/>
      <c r="M225" s="49"/>
      <c r="N225" s="45"/>
      <c r="O225" s="45"/>
    </row>
    <row r="226" spans="1:15">
      <c r="A226" s="50"/>
      <c r="B226" s="50"/>
      <c r="C226" s="51"/>
      <c r="D226" s="52"/>
      <c r="E226" s="46">
        <f t="shared" si="3"/>
        <v>0</v>
      </c>
      <c r="F226" s="50"/>
      <c r="G226" s="53"/>
      <c r="H226" s="50"/>
      <c r="I226" s="50"/>
      <c r="J226" s="54"/>
      <c r="K226" s="50"/>
      <c r="L226" s="50"/>
      <c r="M226" s="54"/>
      <c r="N226" s="50"/>
      <c r="O226" s="50"/>
    </row>
    <row r="227" spans="1:15">
      <c r="A227" s="45"/>
      <c r="B227" s="45"/>
      <c r="C227" s="46"/>
      <c r="D227" s="47"/>
      <c r="E227" s="46">
        <f t="shared" si="3"/>
        <v>0</v>
      </c>
      <c r="F227" s="45"/>
      <c r="G227" s="48"/>
      <c r="H227" s="45"/>
      <c r="I227" s="45"/>
      <c r="J227" s="49"/>
      <c r="K227" s="45"/>
      <c r="L227" s="45"/>
      <c r="M227" s="49"/>
      <c r="N227" s="45"/>
      <c r="O227" s="45"/>
    </row>
    <row r="228" spans="1:15">
      <c r="A228" s="50"/>
      <c r="B228" s="50"/>
      <c r="C228" s="51"/>
      <c r="D228" s="52"/>
      <c r="E228" s="46">
        <f t="shared" si="3"/>
        <v>0</v>
      </c>
      <c r="F228" s="50"/>
      <c r="G228" s="53"/>
      <c r="H228" s="50"/>
      <c r="I228" s="50"/>
      <c r="J228" s="54"/>
      <c r="K228" s="50"/>
      <c r="L228" s="50"/>
      <c r="M228" s="54"/>
      <c r="N228" s="50"/>
      <c r="O228" s="50"/>
    </row>
    <row r="229" spans="1:15">
      <c r="A229" s="45"/>
      <c r="B229" s="45"/>
      <c r="C229" s="46"/>
      <c r="D229" s="47"/>
      <c r="E229" s="46">
        <f t="shared" si="3"/>
        <v>0</v>
      </c>
      <c r="F229" s="45"/>
      <c r="G229" s="48"/>
      <c r="H229" s="45"/>
      <c r="I229" s="45"/>
      <c r="J229" s="49"/>
      <c r="K229" s="45"/>
      <c r="L229" s="45"/>
      <c r="M229" s="49"/>
      <c r="N229" s="45"/>
      <c r="O229" s="45"/>
    </row>
    <row r="230" spans="1:15">
      <c r="A230" s="50"/>
      <c r="B230" s="50"/>
      <c r="C230" s="51"/>
      <c r="D230" s="52"/>
      <c r="E230" s="46">
        <f t="shared" si="3"/>
        <v>0</v>
      </c>
      <c r="F230" s="50"/>
      <c r="G230" s="53"/>
      <c r="H230" s="50"/>
      <c r="I230" s="50"/>
      <c r="J230" s="54"/>
      <c r="K230" s="50"/>
      <c r="L230" s="50"/>
      <c r="M230" s="54"/>
      <c r="N230" s="50"/>
      <c r="O230" s="50"/>
    </row>
    <row r="231" spans="1:15">
      <c r="A231" s="45"/>
      <c r="B231" s="45"/>
      <c r="C231" s="46"/>
      <c r="D231" s="47"/>
      <c r="E231" s="46">
        <f t="shared" si="3"/>
        <v>0</v>
      </c>
      <c r="F231" s="45"/>
      <c r="G231" s="48"/>
      <c r="H231" s="45"/>
      <c r="I231" s="45"/>
      <c r="J231" s="49"/>
      <c r="K231" s="45"/>
      <c r="L231" s="45"/>
      <c r="M231" s="49"/>
      <c r="N231" s="45"/>
      <c r="O231" s="45"/>
    </row>
    <row r="232" spans="1:15">
      <c r="A232" s="50"/>
      <c r="B232" s="50"/>
      <c r="C232" s="51"/>
      <c r="D232" s="52"/>
      <c r="E232" s="46">
        <f t="shared" si="3"/>
        <v>0</v>
      </c>
      <c r="F232" s="50"/>
      <c r="G232" s="53"/>
      <c r="H232" s="50"/>
      <c r="I232" s="50"/>
      <c r="J232" s="54"/>
      <c r="K232" s="50"/>
      <c r="L232" s="50"/>
      <c r="M232" s="54"/>
      <c r="N232" s="50"/>
      <c r="O232" s="50"/>
    </row>
    <row r="233" spans="1:15">
      <c r="A233" s="45"/>
      <c r="B233" s="45"/>
      <c r="C233" s="46"/>
      <c r="D233" s="47"/>
      <c r="E233" s="46">
        <f t="shared" si="3"/>
        <v>0</v>
      </c>
      <c r="F233" s="45"/>
      <c r="G233" s="48"/>
      <c r="H233" s="45"/>
      <c r="I233" s="45"/>
      <c r="J233" s="49"/>
      <c r="K233" s="45"/>
      <c r="L233" s="45"/>
      <c r="M233" s="49"/>
      <c r="N233" s="45"/>
      <c r="O233" s="45"/>
    </row>
    <row r="234" spans="1:15">
      <c r="A234" s="50"/>
      <c r="B234" s="50"/>
      <c r="C234" s="51"/>
      <c r="D234" s="52"/>
      <c r="E234" s="46">
        <f t="shared" si="3"/>
        <v>0</v>
      </c>
      <c r="F234" s="50"/>
      <c r="G234" s="53"/>
      <c r="H234" s="50"/>
      <c r="I234" s="50"/>
      <c r="J234" s="54"/>
      <c r="K234" s="50"/>
      <c r="L234" s="50"/>
      <c r="M234" s="54"/>
      <c r="N234" s="50"/>
      <c r="O234" s="50"/>
    </row>
    <row r="235" spans="1:15">
      <c r="A235" s="45"/>
      <c r="B235" s="45"/>
      <c r="C235" s="46"/>
      <c r="D235" s="47"/>
      <c r="E235" s="46">
        <f t="shared" si="3"/>
        <v>0</v>
      </c>
      <c r="F235" s="45"/>
      <c r="G235" s="48"/>
      <c r="H235" s="45"/>
      <c r="I235" s="45"/>
      <c r="J235" s="49"/>
      <c r="K235" s="45"/>
      <c r="L235" s="45"/>
      <c r="M235" s="49"/>
      <c r="N235" s="45"/>
      <c r="O235" s="45"/>
    </row>
    <row r="236" spans="1:15">
      <c r="A236" s="50"/>
      <c r="B236" s="50"/>
      <c r="C236" s="51"/>
      <c r="D236" s="52"/>
      <c r="E236" s="46">
        <f t="shared" si="3"/>
        <v>0</v>
      </c>
      <c r="F236" s="50"/>
      <c r="G236" s="53"/>
      <c r="H236" s="50"/>
      <c r="I236" s="50"/>
      <c r="J236" s="54"/>
      <c r="K236" s="50"/>
      <c r="L236" s="50"/>
      <c r="M236" s="54"/>
      <c r="N236" s="50"/>
      <c r="O236" s="50"/>
    </row>
    <row r="237" spans="1:15">
      <c r="A237" s="45"/>
      <c r="B237" s="45"/>
      <c r="C237" s="46"/>
      <c r="D237" s="47"/>
      <c r="E237" s="46">
        <f t="shared" si="3"/>
        <v>0</v>
      </c>
      <c r="F237" s="45"/>
      <c r="G237" s="48"/>
      <c r="H237" s="45"/>
      <c r="I237" s="45"/>
      <c r="J237" s="49"/>
      <c r="K237" s="45"/>
      <c r="L237" s="45"/>
      <c r="M237" s="49"/>
      <c r="N237" s="45"/>
      <c r="O237" s="45"/>
    </row>
    <row r="238" spans="1:15">
      <c r="A238" s="50"/>
      <c r="B238" s="50"/>
      <c r="C238" s="51"/>
      <c r="D238" s="52"/>
      <c r="E238" s="46">
        <f t="shared" si="3"/>
        <v>0</v>
      </c>
      <c r="F238" s="50"/>
      <c r="G238" s="53"/>
      <c r="H238" s="50"/>
      <c r="I238" s="50"/>
      <c r="J238" s="54"/>
      <c r="K238" s="50"/>
      <c r="L238" s="50"/>
      <c r="M238" s="54"/>
      <c r="N238" s="50"/>
      <c r="O238" s="50"/>
    </row>
    <row r="239" spans="1:15">
      <c r="A239" s="45"/>
      <c r="B239" s="45"/>
      <c r="C239" s="46"/>
      <c r="D239" s="47"/>
      <c r="E239" s="46">
        <f t="shared" si="3"/>
        <v>0</v>
      </c>
      <c r="F239" s="45"/>
      <c r="G239" s="48"/>
      <c r="H239" s="45"/>
      <c r="I239" s="45"/>
      <c r="J239" s="49"/>
      <c r="K239" s="45"/>
      <c r="L239" s="45"/>
      <c r="M239" s="49"/>
      <c r="N239" s="45"/>
      <c r="O239" s="45"/>
    </row>
    <row r="240" spans="1:15">
      <c r="A240" s="50"/>
      <c r="B240" s="50"/>
      <c r="C240" s="51"/>
      <c r="D240" s="52"/>
      <c r="E240" s="46">
        <f t="shared" si="3"/>
        <v>0</v>
      </c>
      <c r="F240" s="50"/>
      <c r="G240" s="53"/>
      <c r="H240" s="50"/>
      <c r="I240" s="50"/>
      <c r="J240" s="54"/>
      <c r="K240" s="50"/>
      <c r="L240" s="50"/>
      <c r="M240" s="54"/>
      <c r="N240" s="50"/>
      <c r="O240" s="50"/>
    </row>
    <row r="241" spans="1:15">
      <c r="A241" s="45"/>
      <c r="B241" s="45"/>
      <c r="C241" s="46"/>
      <c r="D241" s="47"/>
      <c r="E241" s="46">
        <f t="shared" si="3"/>
        <v>0</v>
      </c>
      <c r="F241" s="45"/>
      <c r="G241" s="48"/>
      <c r="H241" s="45"/>
      <c r="I241" s="45"/>
      <c r="J241" s="49"/>
      <c r="K241" s="45"/>
      <c r="L241" s="45"/>
      <c r="M241" s="49"/>
      <c r="N241" s="45"/>
      <c r="O241" s="45"/>
    </row>
    <row r="242" spans="1:15">
      <c r="A242" s="50"/>
      <c r="B242" s="50"/>
      <c r="C242" s="51"/>
      <c r="D242" s="52"/>
      <c r="E242" s="46">
        <f t="shared" si="3"/>
        <v>0</v>
      </c>
      <c r="F242" s="50"/>
      <c r="G242" s="53"/>
      <c r="H242" s="50"/>
      <c r="I242" s="50"/>
      <c r="J242" s="54"/>
      <c r="K242" s="50"/>
      <c r="L242" s="50"/>
      <c r="M242" s="54"/>
      <c r="N242" s="50"/>
      <c r="O242" s="50"/>
    </row>
    <row r="243" spans="1:15">
      <c r="A243" s="45"/>
      <c r="B243" s="45"/>
      <c r="C243" s="46"/>
      <c r="D243" s="47"/>
      <c r="E243" s="46">
        <f t="shared" si="3"/>
        <v>0</v>
      </c>
      <c r="F243" s="45"/>
      <c r="G243" s="48"/>
      <c r="H243" s="45"/>
      <c r="I243" s="45"/>
      <c r="J243" s="49"/>
      <c r="K243" s="45"/>
      <c r="L243" s="45"/>
      <c r="M243" s="49"/>
      <c r="N243" s="45"/>
      <c r="O243" s="45"/>
    </row>
    <row r="244" spans="1:15">
      <c r="A244" s="50"/>
      <c r="B244" s="50"/>
      <c r="C244" s="51"/>
      <c r="D244" s="52"/>
      <c r="E244" s="46">
        <f t="shared" si="3"/>
        <v>0</v>
      </c>
      <c r="F244" s="50"/>
      <c r="G244" s="53"/>
      <c r="H244" s="50"/>
      <c r="I244" s="50"/>
      <c r="J244" s="54"/>
      <c r="K244" s="50"/>
      <c r="L244" s="50"/>
      <c r="M244" s="54"/>
      <c r="N244" s="50"/>
      <c r="O244" s="50"/>
    </row>
    <row r="245" spans="1:15">
      <c r="A245" s="45"/>
      <c r="B245" s="45"/>
      <c r="C245" s="46"/>
      <c r="D245" s="47"/>
      <c r="E245" s="46">
        <f t="shared" si="3"/>
        <v>0</v>
      </c>
      <c r="F245" s="45"/>
      <c r="G245" s="48"/>
      <c r="H245" s="45"/>
      <c r="I245" s="45"/>
      <c r="J245" s="49"/>
      <c r="K245" s="45"/>
      <c r="L245" s="45"/>
      <c r="M245" s="49"/>
      <c r="N245" s="45"/>
      <c r="O245" s="45"/>
    </row>
    <row r="246" spans="1:15">
      <c r="A246" s="50"/>
      <c r="B246" s="50"/>
      <c r="C246" s="51"/>
      <c r="D246" s="52"/>
      <c r="E246" s="46">
        <f t="shared" si="3"/>
        <v>0</v>
      </c>
      <c r="F246" s="50"/>
      <c r="G246" s="53"/>
      <c r="H246" s="50"/>
      <c r="I246" s="50"/>
      <c r="J246" s="54"/>
      <c r="K246" s="50"/>
      <c r="L246" s="50"/>
      <c r="M246" s="54"/>
      <c r="N246" s="50"/>
      <c r="O246" s="50"/>
    </row>
    <row r="247" spans="1:15">
      <c r="A247" s="45"/>
      <c r="B247" s="45"/>
      <c r="C247" s="46"/>
      <c r="D247" s="47"/>
      <c r="E247" s="46">
        <f t="shared" si="3"/>
        <v>0</v>
      </c>
      <c r="F247" s="45"/>
      <c r="G247" s="48"/>
      <c r="H247" s="45"/>
      <c r="I247" s="45"/>
      <c r="J247" s="49"/>
      <c r="K247" s="45"/>
      <c r="L247" s="45"/>
      <c r="M247" s="49"/>
      <c r="N247" s="45"/>
      <c r="O247" s="45"/>
    </row>
    <row r="248" spans="1:15">
      <c r="A248" s="50"/>
      <c r="B248" s="50"/>
      <c r="C248" s="51"/>
      <c r="D248" s="52"/>
      <c r="E248" s="46">
        <f t="shared" si="3"/>
        <v>0</v>
      </c>
      <c r="F248" s="50"/>
      <c r="G248" s="53"/>
      <c r="H248" s="50"/>
      <c r="I248" s="50"/>
      <c r="J248" s="54"/>
      <c r="K248" s="50"/>
      <c r="L248" s="50"/>
      <c r="M248" s="54"/>
      <c r="N248" s="50"/>
      <c r="O248" s="50"/>
    </row>
    <row r="249" spans="1:15">
      <c r="A249" s="45"/>
      <c r="B249" s="45"/>
      <c r="C249" s="46"/>
      <c r="D249" s="47"/>
      <c r="E249" s="46">
        <f t="shared" si="3"/>
        <v>0</v>
      </c>
      <c r="F249" s="45"/>
      <c r="G249" s="48"/>
      <c r="H249" s="45"/>
      <c r="I249" s="45"/>
      <c r="J249" s="49"/>
      <c r="K249" s="45"/>
      <c r="L249" s="45"/>
      <c r="M249" s="49"/>
      <c r="N249" s="45"/>
      <c r="O249" s="45"/>
    </row>
    <row r="250" spans="1:15">
      <c r="A250" s="50"/>
      <c r="B250" s="50"/>
      <c r="C250" s="51"/>
      <c r="D250" s="52"/>
      <c r="E250" s="46">
        <f t="shared" si="3"/>
        <v>0</v>
      </c>
      <c r="F250" s="50"/>
      <c r="G250" s="53"/>
      <c r="H250" s="50"/>
      <c r="I250" s="50"/>
      <c r="J250" s="54"/>
      <c r="K250" s="50"/>
      <c r="L250" s="50"/>
      <c r="M250" s="54"/>
      <c r="N250" s="50"/>
      <c r="O250" s="50"/>
    </row>
    <row r="251" spans="1:15">
      <c r="A251" s="45"/>
      <c r="B251" s="45"/>
      <c r="C251" s="46"/>
      <c r="D251" s="47"/>
      <c r="E251" s="46">
        <f t="shared" si="3"/>
        <v>0</v>
      </c>
      <c r="F251" s="45"/>
      <c r="G251" s="48"/>
      <c r="H251" s="45"/>
      <c r="I251" s="45"/>
      <c r="J251" s="49"/>
      <c r="K251" s="45"/>
      <c r="L251" s="45"/>
      <c r="M251" s="49"/>
      <c r="N251" s="45"/>
      <c r="O251" s="45"/>
    </row>
    <row r="252" spans="1:15">
      <c r="A252" s="50"/>
      <c r="B252" s="50"/>
      <c r="C252" s="51"/>
      <c r="D252" s="52"/>
      <c r="E252" s="46">
        <f t="shared" si="3"/>
        <v>0</v>
      </c>
      <c r="F252" s="50"/>
      <c r="G252" s="53"/>
      <c r="H252" s="50"/>
      <c r="I252" s="50"/>
      <c r="J252" s="54"/>
      <c r="K252" s="50"/>
      <c r="L252" s="50"/>
      <c r="M252" s="54"/>
      <c r="N252" s="50"/>
      <c r="O252" s="50"/>
    </row>
    <row r="253" spans="1:15">
      <c r="A253" s="45"/>
      <c r="B253" s="45"/>
      <c r="C253" s="46"/>
      <c r="D253" s="47"/>
      <c r="E253" s="46">
        <f t="shared" si="3"/>
        <v>0</v>
      </c>
      <c r="F253" s="45"/>
      <c r="G253" s="48"/>
      <c r="H253" s="45"/>
      <c r="I253" s="45"/>
      <c r="J253" s="49"/>
      <c r="K253" s="45"/>
      <c r="L253" s="45"/>
      <c r="M253" s="49"/>
      <c r="N253" s="45"/>
      <c r="O253" s="45"/>
    </row>
    <row r="254" spans="1:15">
      <c r="A254" s="50"/>
      <c r="B254" s="50"/>
      <c r="C254" s="51"/>
      <c r="D254" s="52"/>
      <c r="E254" s="46">
        <f t="shared" si="3"/>
        <v>0</v>
      </c>
      <c r="F254" s="50"/>
      <c r="G254" s="53"/>
      <c r="H254" s="50"/>
      <c r="I254" s="50"/>
      <c r="J254" s="54"/>
      <c r="K254" s="50"/>
      <c r="L254" s="50"/>
      <c r="M254" s="54"/>
      <c r="N254" s="50"/>
      <c r="O254" s="50"/>
    </row>
    <row r="255" spans="1:15">
      <c r="A255" s="45"/>
      <c r="B255" s="45"/>
      <c r="C255" s="46"/>
      <c r="D255" s="47"/>
      <c r="E255" s="46">
        <f t="shared" si="3"/>
        <v>0</v>
      </c>
      <c r="F255" s="45"/>
      <c r="G255" s="48"/>
      <c r="H255" s="45"/>
      <c r="I255" s="45"/>
      <c r="J255" s="49"/>
      <c r="K255" s="45"/>
      <c r="L255" s="45"/>
      <c r="M255" s="49"/>
      <c r="N255" s="45"/>
      <c r="O255" s="45"/>
    </row>
    <row r="256" spans="1:15">
      <c r="A256" s="50"/>
      <c r="B256" s="50"/>
      <c r="C256" s="51"/>
      <c r="D256" s="52"/>
      <c r="E256" s="46">
        <f t="shared" si="3"/>
        <v>0</v>
      </c>
      <c r="F256" s="50"/>
      <c r="G256" s="53"/>
      <c r="H256" s="50"/>
      <c r="I256" s="50"/>
      <c r="J256" s="54"/>
      <c r="K256" s="50"/>
      <c r="L256" s="50"/>
      <c r="M256" s="54"/>
      <c r="N256" s="50"/>
      <c r="O256" s="50"/>
    </row>
    <row r="257" spans="1:15">
      <c r="A257" s="45"/>
      <c r="B257" s="45"/>
      <c r="C257" s="46"/>
      <c r="D257" s="47"/>
      <c r="E257" s="46">
        <f t="shared" si="3"/>
        <v>0</v>
      </c>
      <c r="F257" s="45"/>
      <c r="G257" s="48"/>
      <c r="H257" s="45"/>
      <c r="I257" s="45"/>
      <c r="J257" s="49"/>
      <c r="K257" s="45"/>
      <c r="L257" s="45"/>
      <c r="M257" s="49"/>
      <c r="N257" s="45"/>
      <c r="O257" s="45"/>
    </row>
    <row r="258" spans="1:15">
      <c r="A258" s="50"/>
      <c r="B258" s="50"/>
      <c r="C258" s="51"/>
      <c r="D258" s="52"/>
      <c r="E258" s="46">
        <f t="shared" si="3"/>
        <v>0</v>
      </c>
      <c r="F258" s="50"/>
      <c r="G258" s="53"/>
      <c r="H258" s="50"/>
      <c r="I258" s="50"/>
      <c r="J258" s="54"/>
      <c r="K258" s="50"/>
      <c r="L258" s="50"/>
      <c r="M258" s="54"/>
      <c r="N258" s="50"/>
      <c r="O258" s="50"/>
    </row>
    <row r="259" spans="1:15">
      <c r="A259" s="45"/>
      <c r="B259" s="45"/>
      <c r="C259" s="46"/>
      <c r="D259" s="47"/>
      <c r="E259" s="46">
        <f t="shared" si="3"/>
        <v>0</v>
      </c>
      <c r="F259" s="45"/>
      <c r="G259" s="48"/>
      <c r="H259" s="45"/>
      <c r="I259" s="45"/>
      <c r="J259" s="49"/>
      <c r="K259" s="45"/>
      <c r="L259" s="45"/>
      <c r="M259" s="49"/>
      <c r="N259" s="45"/>
      <c r="O259" s="45"/>
    </row>
    <row r="260" spans="1:15">
      <c r="A260" s="50"/>
      <c r="B260" s="50"/>
      <c r="C260" s="51"/>
      <c r="D260" s="52"/>
      <c r="E260" s="46">
        <f t="shared" si="3"/>
        <v>0</v>
      </c>
      <c r="F260" s="50"/>
      <c r="G260" s="53"/>
      <c r="H260" s="50"/>
      <c r="I260" s="50"/>
      <c r="J260" s="54"/>
      <c r="K260" s="50"/>
      <c r="L260" s="50"/>
      <c r="M260" s="54"/>
      <c r="N260" s="50"/>
      <c r="O260" s="50"/>
    </row>
    <row r="261" spans="1:15">
      <c r="A261" s="45"/>
      <c r="B261" s="45"/>
      <c r="C261" s="46"/>
      <c r="D261" s="47"/>
      <c r="E261" s="46">
        <f t="shared" ref="E261:E292" si="4">D261*C261</f>
        <v>0</v>
      </c>
      <c r="F261" s="45"/>
      <c r="G261" s="48"/>
      <c r="H261" s="45"/>
      <c r="I261" s="45"/>
      <c r="J261" s="49"/>
      <c r="K261" s="45"/>
      <c r="L261" s="45"/>
      <c r="M261" s="49"/>
      <c r="N261" s="45"/>
      <c r="O261" s="45"/>
    </row>
    <row r="262" spans="1:15">
      <c r="A262" s="50"/>
      <c r="B262" s="50"/>
      <c r="C262" s="51"/>
      <c r="D262" s="52"/>
      <c r="E262" s="46">
        <f t="shared" si="4"/>
        <v>0</v>
      </c>
      <c r="F262" s="50"/>
      <c r="G262" s="53"/>
      <c r="H262" s="50"/>
      <c r="I262" s="50"/>
      <c r="J262" s="54"/>
      <c r="K262" s="50"/>
      <c r="L262" s="50"/>
      <c r="M262" s="54"/>
      <c r="N262" s="50"/>
      <c r="O262" s="50"/>
    </row>
    <row r="263" spans="1:15">
      <c r="A263" s="45"/>
      <c r="B263" s="45"/>
      <c r="C263" s="46"/>
      <c r="D263" s="47"/>
      <c r="E263" s="46">
        <f t="shared" si="4"/>
        <v>0</v>
      </c>
      <c r="F263" s="45"/>
      <c r="G263" s="48"/>
      <c r="H263" s="45"/>
      <c r="I263" s="45"/>
      <c r="J263" s="49"/>
      <c r="K263" s="45"/>
      <c r="L263" s="45"/>
      <c r="M263" s="49"/>
      <c r="N263" s="45"/>
      <c r="O263" s="45"/>
    </row>
    <row r="264" spans="1:15">
      <c r="A264" s="50"/>
      <c r="B264" s="50"/>
      <c r="C264" s="51"/>
      <c r="D264" s="52"/>
      <c r="E264" s="46">
        <f t="shared" si="4"/>
        <v>0</v>
      </c>
      <c r="F264" s="50"/>
      <c r="G264" s="53"/>
      <c r="H264" s="50"/>
      <c r="I264" s="50"/>
      <c r="J264" s="54"/>
      <c r="K264" s="50"/>
      <c r="L264" s="50"/>
      <c r="M264" s="54"/>
      <c r="N264" s="50"/>
      <c r="O264" s="50"/>
    </row>
    <row r="265" spans="1:15">
      <c r="A265" s="45"/>
      <c r="B265" s="45"/>
      <c r="C265" s="46"/>
      <c r="D265" s="47"/>
      <c r="E265" s="46">
        <f t="shared" si="4"/>
        <v>0</v>
      </c>
      <c r="F265" s="45"/>
      <c r="G265" s="48"/>
      <c r="H265" s="45"/>
      <c r="I265" s="45"/>
      <c r="J265" s="49"/>
      <c r="K265" s="45"/>
      <c r="L265" s="45"/>
      <c r="M265" s="49"/>
      <c r="N265" s="45"/>
      <c r="O265" s="45"/>
    </row>
    <row r="266" spans="1:15">
      <c r="A266" s="50"/>
      <c r="B266" s="50"/>
      <c r="C266" s="51"/>
      <c r="D266" s="52"/>
      <c r="E266" s="46">
        <f t="shared" si="4"/>
        <v>0</v>
      </c>
      <c r="F266" s="50"/>
      <c r="G266" s="53"/>
      <c r="H266" s="50"/>
      <c r="I266" s="50"/>
      <c r="J266" s="54"/>
      <c r="K266" s="50"/>
      <c r="L266" s="50"/>
      <c r="M266" s="54"/>
      <c r="N266" s="50"/>
      <c r="O266" s="50"/>
    </row>
    <row r="267" spans="1:15">
      <c r="A267" s="45"/>
      <c r="B267" s="45"/>
      <c r="C267" s="46"/>
      <c r="D267" s="47"/>
      <c r="E267" s="46">
        <f t="shared" si="4"/>
        <v>0</v>
      </c>
      <c r="F267" s="45"/>
      <c r="G267" s="48"/>
      <c r="H267" s="45"/>
      <c r="I267" s="45"/>
      <c r="J267" s="49"/>
      <c r="K267" s="45"/>
      <c r="L267" s="45"/>
      <c r="M267" s="49"/>
      <c r="N267" s="45"/>
      <c r="O267" s="45"/>
    </row>
    <row r="268" spans="1:15">
      <c r="A268" s="50"/>
      <c r="B268" s="50"/>
      <c r="C268" s="51"/>
      <c r="D268" s="52"/>
      <c r="E268" s="46">
        <f t="shared" si="4"/>
        <v>0</v>
      </c>
      <c r="F268" s="50"/>
      <c r="G268" s="53"/>
      <c r="H268" s="50"/>
      <c r="I268" s="50"/>
      <c r="J268" s="54"/>
      <c r="K268" s="50"/>
      <c r="L268" s="50"/>
      <c r="M268" s="54"/>
      <c r="N268" s="50"/>
      <c r="O268" s="50"/>
    </row>
    <row r="269" spans="1:15">
      <c r="A269" s="45"/>
      <c r="B269" s="45"/>
      <c r="C269" s="46"/>
      <c r="D269" s="47"/>
      <c r="E269" s="46">
        <f t="shared" si="4"/>
        <v>0</v>
      </c>
      <c r="F269" s="45"/>
      <c r="G269" s="48"/>
      <c r="H269" s="45"/>
      <c r="I269" s="45"/>
      <c r="J269" s="49"/>
      <c r="K269" s="45"/>
      <c r="L269" s="45"/>
      <c r="M269" s="49"/>
      <c r="N269" s="45"/>
      <c r="O269" s="45"/>
    </row>
    <row r="270" spans="1:15">
      <c r="A270" s="50"/>
      <c r="B270" s="50"/>
      <c r="C270" s="51"/>
      <c r="D270" s="52"/>
      <c r="E270" s="46">
        <f t="shared" si="4"/>
        <v>0</v>
      </c>
      <c r="F270" s="50"/>
      <c r="G270" s="53"/>
      <c r="H270" s="50"/>
      <c r="I270" s="50"/>
      <c r="J270" s="54"/>
      <c r="K270" s="50"/>
      <c r="L270" s="50"/>
      <c r="M270" s="54"/>
      <c r="N270" s="50"/>
      <c r="O270" s="50"/>
    </row>
    <row r="271" spans="1:15">
      <c r="A271" s="45"/>
      <c r="B271" s="45"/>
      <c r="C271" s="46"/>
      <c r="D271" s="47"/>
      <c r="E271" s="46">
        <f t="shared" si="4"/>
        <v>0</v>
      </c>
      <c r="F271" s="45"/>
      <c r="G271" s="48"/>
      <c r="H271" s="45"/>
      <c r="I271" s="45"/>
      <c r="J271" s="49"/>
      <c r="K271" s="45"/>
      <c r="L271" s="45"/>
      <c r="M271" s="49"/>
      <c r="N271" s="45"/>
      <c r="O271" s="45"/>
    </row>
    <row r="272" spans="1:15">
      <c r="A272" s="50"/>
      <c r="B272" s="50"/>
      <c r="C272" s="51"/>
      <c r="D272" s="52"/>
      <c r="E272" s="46">
        <f t="shared" si="4"/>
        <v>0</v>
      </c>
      <c r="F272" s="50"/>
      <c r="G272" s="53"/>
      <c r="H272" s="50"/>
      <c r="I272" s="50"/>
      <c r="J272" s="54"/>
      <c r="K272" s="50"/>
      <c r="L272" s="50"/>
      <c r="M272" s="54"/>
      <c r="N272" s="50"/>
      <c r="O272" s="50"/>
    </row>
    <row r="273" spans="1:15">
      <c r="A273" s="45"/>
      <c r="B273" s="45"/>
      <c r="C273" s="46"/>
      <c r="D273" s="47"/>
      <c r="E273" s="46">
        <f t="shared" si="4"/>
        <v>0</v>
      </c>
      <c r="F273" s="45"/>
      <c r="G273" s="48"/>
      <c r="H273" s="45"/>
      <c r="I273" s="45"/>
      <c r="J273" s="49"/>
      <c r="K273" s="45"/>
      <c r="L273" s="45"/>
      <c r="M273" s="49"/>
      <c r="N273" s="45"/>
      <c r="O273" s="45"/>
    </row>
    <row r="274" spans="1:15">
      <c r="A274" s="50"/>
      <c r="B274" s="50"/>
      <c r="C274" s="51"/>
      <c r="D274" s="52"/>
      <c r="E274" s="46">
        <f t="shared" si="4"/>
        <v>0</v>
      </c>
      <c r="F274" s="50"/>
      <c r="G274" s="53"/>
      <c r="H274" s="50"/>
      <c r="I274" s="50"/>
      <c r="J274" s="54"/>
      <c r="K274" s="50"/>
      <c r="L274" s="50"/>
      <c r="M274" s="54"/>
      <c r="N274" s="50"/>
      <c r="O274" s="50"/>
    </row>
    <row r="275" spans="1:15">
      <c r="A275" s="45"/>
      <c r="B275" s="45"/>
      <c r="C275" s="46"/>
      <c r="D275" s="47"/>
      <c r="E275" s="46">
        <f t="shared" si="4"/>
        <v>0</v>
      </c>
      <c r="F275" s="45"/>
      <c r="G275" s="48"/>
      <c r="H275" s="45"/>
      <c r="I275" s="45"/>
      <c r="J275" s="49"/>
      <c r="K275" s="45"/>
      <c r="L275" s="45"/>
      <c r="M275" s="49"/>
      <c r="N275" s="45"/>
      <c r="O275" s="45"/>
    </row>
    <row r="276" spans="1:15">
      <c r="A276" s="50"/>
      <c r="B276" s="50"/>
      <c r="C276" s="51"/>
      <c r="D276" s="52"/>
      <c r="E276" s="46">
        <f t="shared" si="4"/>
        <v>0</v>
      </c>
      <c r="F276" s="50"/>
      <c r="G276" s="53"/>
      <c r="H276" s="50"/>
      <c r="I276" s="50"/>
      <c r="J276" s="54"/>
      <c r="K276" s="50"/>
      <c r="L276" s="50"/>
      <c r="M276" s="54"/>
      <c r="N276" s="50"/>
      <c r="O276" s="50"/>
    </row>
    <row r="277" spans="1:15">
      <c r="A277" s="45"/>
      <c r="B277" s="45"/>
      <c r="C277" s="46"/>
      <c r="D277" s="47"/>
      <c r="E277" s="46">
        <f t="shared" si="4"/>
        <v>0</v>
      </c>
      <c r="F277" s="45"/>
      <c r="G277" s="48"/>
      <c r="H277" s="45"/>
      <c r="I277" s="45"/>
      <c r="J277" s="49"/>
      <c r="K277" s="45"/>
      <c r="L277" s="45"/>
      <c r="M277" s="49"/>
      <c r="N277" s="45"/>
      <c r="O277" s="45"/>
    </row>
    <row r="278" spans="1:15">
      <c r="A278" s="50"/>
      <c r="B278" s="50"/>
      <c r="C278" s="51"/>
      <c r="D278" s="52"/>
      <c r="E278" s="46">
        <f t="shared" si="4"/>
        <v>0</v>
      </c>
      <c r="F278" s="50"/>
      <c r="G278" s="53"/>
      <c r="H278" s="50"/>
      <c r="I278" s="50"/>
      <c r="J278" s="54"/>
      <c r="K278" s="50"/>
      <c r="L278" s="50"/>
      <c r="M278" s="54"/>
      <c r="N278" s="50"/>
      <c r="O278" s="50"/>
    </row>
    <row r="279" spans="1:15">
      <c r="A279" s="45"/>
      <c r="B279" s="45"/>
      <c r="C279" s="46"/>
      <c r="D279" s="47"/>
      <c r="E279" s="46">
        <f t="shared" si="4"/>
        <v>0</v>
      </c>
      <c r="F279" s="45"/>
      <c r="G279" s="48"/>
      <c r="H279" s="45"/>
      <c r="I279" s="45"/>
      <c r="J279" s="49"/>
      <c r="K279" s="45"/>
      <c r="L279" s="45"/>
      <c r="M279" s="49"/>
      <c r="N279" s="45"/>
      <c r="O279" s="45"/>
    </row>
    <row r="280" spans="1:15">
      <c r="A280" s="50"/>
      <c r="B280" s="50"/>
      <c r="C280" s="51"/>
      <c r="D280" s="52"/>
      <c r="E280" s="46">
        <f t="shared" si="4"/>
        <v>0</v>
      </c>
      <c r="F280" s="50"/>
      <c r="G280" s="53"/>
      <c r="H280" s="50"/>
      <c r="I280" s="50"/>
      <c r="J280" s="54"/>
      <c r="K280" s="50"/>
      <c r="L280" s="50"/>
      <c r="M280" s="54"/>
      <c r="N280" s="50"/>
      <c r="O280" s="50"/>
    </row>
    <row r="281" spans="1:15">
      <c r="A281" s="45"/>
      <c r="B281" s="45"/>
      <c r="C281" s="46"/>
      <c r="D281" s="47"/>
      <c r="E281" s="46">
        <f t="shared" si="4"/>
        <v>0</v>
      </c>
      <c r="F281" s="45"/>
      <c r="G281" s="48"/>
      <c r="H281" s="45"/>
      <c r="I281" s="45"/>
      <c r="J281" s="49"/>
      <c r="K281" s="45"/>
      <c r="L281" s="45"/>
      <c r="M281" s="49"/>
      <c r="N281" s="45"/>
      <c r="O281" s="45"/>
    </row>
    <row r="282" spans="1:15">
      <c r="A282" s="50"/>
      <c r="B282" s="50"/>
      <c r="C282" s="51"/>
      <c r="D282" s="52"/>
      <c r="E282" s="46">
        <f t="shared" si="4"/>
        <v>0</v>
      </c>
      <c r="F282" s="50"/>
      <c r="G282" s="53"/>
      <c r="H282" s="50"/>
      <c r="I282" s="50"/>
      <c r="J282" s="54"/>
      <c r="K282" s="50"/>
      <c r="L282" s="50"/>
      <c r="M282" s="54"/>
      <c r="N282" s="50"/>
      <c r="O282" s="50"/>
    </row>
    <row r="283" spans="1:15">
      <c r="A283" s="45"/>
      <c r="B283" s="45"/>
      <c r="C283" s="46"/>
      <c r="D283" s="47"/>
      <c r="E283" s="46">
        <f t="shared" si="4"/>
        <v>0</v>
      </c>
      <c r="F283" s="45"/>
      <c r="G283" s="48"/>
      <c r="H283" s="45"/>
      <c r="I283" s="45"/>
      <c r="J283" s="49"/>
      <c r="K283" s="45"/>
      <c r="L283" s="45"/>
      <c r="M283" s="49"/>
      <c r="N283" s="45"/>
      <c r="O283" s="45"/>
    </row>
    <row r="284" spans="1:15">
      <c r="A284" s="50"/>
      <c r="B284" s="50"/>
      <c r="C284" s="51"/>
      <c r="D284" s="52"/>
      <c r="E284" s="46">
        <f t="shared" si="4"/>
        <v>0</v>
      </c>
      <c r="F284" s="50"/>
      <c r="G284" s="53"/>
      <c r="H284" s="50"/>
      <c r="I284" s="50"/>
      <c r="J284" s="54"/>
      <c r="K284" s="50"/>
      <c r="L284" s="50"/>
      <c r="M284" s="54"/>
      <c r="N284" s="50"/>
      <c r="O284" s="50"/>
    </row>
    <row r="285" spans="1:15">
      <c r="A285" s="45"/>
      <c r="B285" s="45"/>
      <c r="C285" s="46"/>
      <c r="D285" s="47"/>
      <c r="E285" s="46">
        <f t="shared" si="4"/>
        <v>0</v>
      </c>
      <c r="F285" s="45"/>
      <c r="G285" s="48"/>
      <c r="H285" s="45"/>
      <c r="I285" s="45"/>
      <c r="J285" s="49"/>
      <c r="K285" s="45"/>
      <c r="L285" s="45"/>
      <c r="M285" s="49"/>
      <c r="N285" s="45"/>
      <c r="O285" s="45"/>
    </row>
    <row r="286" spans="1:15">
      <c r="A286" s="50"/>
      <c r="B286" s="50"/>
      <c r="C286" s="51"/>
      <c r="D286" s="52"/>
      <c r="E286" s="46">
        <f t="shared" si="4"/>
        <v>0</v>
      </c>
      <c r="F286" s="50"/>
      <c r="G286" s="53"/>
      <c r="H286" s="50"/>
      <c r="I286" s="50"/>
      <c r="J286" s="54"/>
      <c r="K286" s="50"/>
      <c r="L286" s="50"/>
      <c r="M286" s="54"/>
      <c r="N286" s="50"/>
      <c r="O286" s="50"/>
    </row>
    <row r="287" spans="1:15">
      <c r="A287" s="45"/>
      <c r="B287" s="45"/>
      <c r="C287" s="46"/>
      <c r="D287" s="47"/>
      <c r="E287" s="46">
        <f t="shared" si="4"/>
        <v>0</v>
      </c>
      <c r="F287" s="45"/>
      <c r="G287" s="48"/>
      <c r="H287" s="45"/>
      <c r="I287" s="45"/>
      <c r="J287" s="49"/>
      <c r="K287" s="45"/>
      <c r="L287" s="45"/>
      <c r="M287" s="49"/>
      <c r="N287" s="45"/>
      <c r="O287" s="45"/>
    </row>
    <row r="288" spans="1:15">
      <c r="A288" s="50"/>
      <c r="B288" s="50"/>
      <c r="C288" s="51"/>
      <c r="D288" s="52"/>
      <c r="E288" s="46">
        <f t="shared" si="4"/>
        <v>0</v>
      </c>
      <c r="F288" s="50"/>
      <c r="G288" s="53"/>
      <c r="H288" s="50"/>
      <c r="I288" s="50"/>
      <c r="J288" s="54"/>
      <c r="K288" s="50"/>
      <c r="L288" s="50"/>
      <c r="M288" s="54"/>
      <c r="N288" s="50"/>
      <c r="O288" s="50"/>
    </row>
    <row r="289" spans="1:15">
      <c r="A289" s="45"/>
      <c r="B289" s="45"/>
      <c r="C289" s="46"/>
      <c r="D289" s="47"/>
      <c r="E289" s="46">
        <f t="shared" si="4"/>
        <v>0</v>
      </c>
      <c r="F289" s="45"/>
      <c r="G289" s="48"/>
      <c r="H289" s="45"/>
      <c r="I289" s="45"/>
      <c r="J289" s="49"/>
      <c r="K289" s="45"/>
      <c r="L289" s="45"/>
      <c r="M289" s="49"/>
      <c r="N289" s="45"/>
      <c r="O289" s="45"/>
    </row>
    <row r="290" spans="1:15">
      <c r="A290" s="50"/>
      <c r="B290" s="50"/>
      <c r="C290" s="51"/>
      <c r="D290" s="52"/>
      <c r="E290" s="46">
        <f t="shared" si="4"/>
        <v>0</v>
      </c>
      <c r="F290" s="50"/>
      <c r="G290" s="53"/>
      <c r="H290" s="50"/>
      <c r="I290" s="50"/>
      <c r="J290" s="54"/>
      <c r="K290" s="50"/>
      <c r="L290" s="50"/>
      <c r="M290" s="54"/>
      <c r="N290" s="50"/>
      <c r="O290" s="50"/>
    </row>
    <row r="291" spans="1:15">
      <c r="A291" s="45"/>
      <c r="B291" s="45"/>
      <c r="C291" s="46"/>
      <c r="D291" s="47"/>
      <c r="E291" s="46">
        <f t="shared" si="4"/>
        <v>0</v>
      </c>
      <c r="F291" s="45"/>
      <c r="G291" s="48"/>
      <c r="H291" s="45"/>
      <c r="I291" s="45"/>
      <c r="J291" s="49"/>
      <c r="K291" s="45"/>
      <c r="L291" s="45"/>
      <c r="M291" s="49"/>
      <c r="N291" s="45"/>
      <c r="O291" s="45"/>
    </row>
    <row r="292" spans="1:15">
      <c r="A292" s="50"/>
      <c r="B292" s="50"/>
      <c r="C292" s="51"/>
      <c r="D292" s="52"/>
      <c r="E292" s="46">
        <f t="shared" si="4"/>
        <v>0</v>
      </c>
      <c r="F292" s="50"/>
      <c r="G292" s="53"/>
      <c r="H292" s="50"/>
      <c r="I292" s="50"/>
      <c r="J292" s="54"/>
      <c r="K292" s="50"/>
      <c r="L292" s="50"/>
      <c r="M292" s="54"/>
      <c r="N292" s="50"/>
      <c r="O292" s="50"/>
    </row>
    <row r="293" spans="1:15">
      <c r="A293" s="117"/>
      <c r="B293" s="117"/>
      <c r="C293" s="117"/>
      <c r="D293" s="117"/>
      <c r="E293" s="63" t="str">
        <f t="shared" ref="E293:E324" si="5">IF(OR(C293="",D293=""),"",C293*D293)</f>
        <v/>
      </c>
      <c r="F293" s="117"/>
      <c r="G293" s="117"/>
      <c r="H293" s="117"/>
      <c r="I293" s="117"/>
      <c r="J293" s="117"/>
      <c r="K293" s="117"/>
      <c r="L293" s="117"/>
      <c r="M293" s="117"/>
      <c r="N293" s="117"/>
      <c r="O293" s="117"/>
    </row>
    <row r="294" spans="1:15">
      <c r="A294" s="117"/>
      <c r="B294" s="117"/>
      <c r="C294" s="117"/>
      <c r="D294" s="117"/>
      <c r="E294" s="63" t="str">
        <f t="shared" si="5"/>
        <v/>
      </c>
      <c r="F294" s="117"/>
      <c r="G294" s="117"/>
      <c r="H294" s="117"/>
      <c r="I294" s="117"/>
      <c r="J294" s="117"/>
      <c r="K294" s="117"/>
      <c r="L294" s="117"/>
      <c r="M294" s="117"/>
      <c r="N294" s="117"/>
      <c r="O294" s="117"/>
    </row>
    <row r="295" spans="1:15">
      <c r="A295" s="117"/>
      <c r="B295" s="117"/>
      <c r="C295" s="117"/>
      <c r="D295" s="117"/>
      <c r="E295" s="63" t="str">
        <f t="shared" si="5"/>
        <v/>
      </c>
      <c r="F295" s="117"/>
      <c r="G295" s="117"/>
      <c r="H295" s="117"/>
      <c r="I295" s="117"/>
      <c r="J295" s="117"/>
      <c r="K295" s="117"/>
      <c r="L295" s="117"/>
      <c r="M295" s="117"/>
      <c r="N295" s="117"/>
      <c r="O295" s="117"/>
    </row>
    <row r="296" spans="1:15">
      <c r="A296" s="117"/>
      <c r="B296" s="117"/>
      <c r="C296" s="117"/>
      <c r="D296" s="117"/>
      <c r="E296" s="63" t="str">
        <f t="shared" si="5"/>
        <v/>
      </c>
      <c r="F296" s="117"/>
      <c r="G296" s="117"/>
      <c r="H296" s="117"/>
      <c r="I296" s="117"/>
      <c r="J296" s="117"/>
      <c r="K296" s="117"/>
      <c r="L296" s="117"/>
      <c r="M296" s="117"/>
      <c r="N296" s="117"/>
      <c r="O296" s="117"/>
    </row>
    <row r="297" spans="1:15">
      <c r="A297" s="117"/>
      <c r="B297" s="117"/>
      <c r="C297" s="117"/>
      <c r="D297" s="117"/>
      <c r="E297" s="63" t="str">
        <f t="shared" si="5"/>
        <v/>
      </c>
      <c r="F297" s="117"/>
      <c r="G297" s="117"/>
      <c r="H297" s="117"/>
      <c r="I297" s="117"/>
      <c r="J297" s="117"/>
      <c r="K297" s="117"/>
      <c r="L297" s="117"/>
      <c r="M297" s="117"/>
      <c r="N297" s="117"/>
      <c r="O297" s="117"/>
    </row>
    <row r="298" spans="1:15">
      <c r="A298" s="117"/>
      <c r="B298" s="117"/>
      <c r="C298" s="117"/>
      <c r="D298" s="117"/>
      <c r="E298" s="63" t="str">
        <f t="shared" si="5"/>
        <v/>
      </c>
      <c r="F298" s="117"/>
      <c r="G298" s="117"/>
      <c r="H298" s="117"/>
      <c r="I298" s="117"/>
      <c r="J298" s="117"/>
      <c r="K298" s="117"/>
      <c r="L298" s="117"/>
      <c r="M298" s="117"/>
      <c r="N298" s="117"/>
      <c r="O298" s="117"/>
    </row>
    <row r="299" spans="1:15">
      <c r="A299" s="117"/>
      <c r="B299" s="117"/>
      <c r="C299" s="117"/>
      <c r="D299" s="117"/>
      <c r="E299" s="63" t="str">
        <f t="shared" si="5"/>
        <v/>
      </c>
      <c r="F299" s="117"/>
      <c r="G299" s="117"/>
      <c r="H299" s="117"/>
      <c r="I299" s="117"/>
      <c r="J299" s="117"/>
      <c r="K299" s="117"/>
      <c r="L299" s="117"/>
      <c r="M299" s="117"/>
      <c r="N299" s="117"/>
      <c r="O299" s="117"/>
    </row>
    <row r="300" spans="1:15">
      <c r="A300" s="117"/>
      <c r="B300" s="117"/>
      <c r="C300" s="117"/>
      <c r="D300" s="117"/>
      <c r="E300" s="63" t="str">
        <f t="shared" si="5"/>
        <v/>
      </c>
      <c r="F300" s="117"/>
      <c r="G300" s="117"/>
      <c r="H300" s="117"/>
      <c r="I300" s="117"/>
      <c r="J300" s="117"/>
      <c r="K300" s="117"/>
      <c r="L300" s="117"/>
      <c r="M300" s="117"/>
      <c r="N300" s="117"/>
      <c r="O300" s="117"/>
    </row>
    <row r="301" spans="1:15">
      <c r="A301" s="117"/>
      <c r="B301" s="117"/>
      <c r="C301" s="117"/>
      <c r="D301" s="117"/>
      <c r="E301" s="63" t="str">
        <f t="shared" si="5"/>
        <v/>
      </c>
      <c r="F301" s="117"/>
      <c r="G301" s="117"/>
      <c r="H301" s="117"/>
      <c r="I301" s="117"/>
      <c r="J301" s="117"/>
      <c r="K301" s="117"/>
      <c r="L301" s="117"/>
      <c r="M301" s="117"/>
      <c r="N301" s="117"/>
      <c r="O301" s="117"/>
    </row>
    <row r="302" spans="1:15">
      <c r="A302" s="117"/>
      <c r="B302" s="117"/>
      <c r="C302" s="117"/>
      <c r="D302" s="117"/>
      <c r="E302" s="63" t="str">
        <f t="shared" si="5"/>
        <v/>
      </c>
      <c r="F302" s="117"/>
      <c r="G302" s="117"/>
      <c r="H302" s="117"/>
      <c r="I302" s="117"/>
      <c r="J302" s="117"/>
      <c r="K302" s="117"/>
      <c r="L302" s="117"/>
      <c r="M302" s="117"/>
      <c r="N302" s="117"/>
      <c r="O302" s="117"/>
    </row>
    <row r="303" spans="1:15">
      <c r="A303" s="117"/>
      <c r="B303" s="117"/>
      <c r="C303" s="117"/>
      <c r="D303" s="117"/>
      <c r="E303" s="63" t="str">
        <f t="shared" si="5"/>
        <v/>
      </c>
      <c r="F303" s="117"/>
      <c r="G303" s="117"/>
      <c r="H303" s="117"/>
      <c r="I303" s="117"/>
      <c r="J303" s="117"/>
      <c r="K303" s="117"/>
      <c r="L303" s="117"/>
      <c r="M303" s="117"/>
      <c r="N303" s="117"/>
      <c r="O303" s="117"/>
    </row>
    <row r="304" spans="1:15">
      <c r="A304" s="117"/>
      <c r="B304" s="117"/>
      <c r="C304" s="117"/>
      <c r="D304" s="117"/>
      <c r="E304" s="63" t="str">
        <f t="shared" si="5"/>
        <v/>
      </c>
      <c r="F304" s="117"/>
      <c r="G304" s="117"/>
      <c r="H304" s="117"/>
      <c r="I304" s="117"/>
      <c r="J304" s="117"/>
      <c r="K304" s="117"/>
      <c r="L304" s="117"/>
      <c r="M304" s="117"/>
      <c r="N304" s="117"/>
      <c r="O304" s="117"/>
    </row>
    <row r="305" spans="5:5">
      <c r="E305" s="63" t="str">
        <f t="shared" si="5"/>
        <v/>
      </c>
    </row>
    <row r="306" spans="5:5">
      <c r="E306" s="63" t="str">
        <f t="shared" si="5"/>
        <v/>
      </c>
    </row>
    <row r="307" spans="5:5">
      <c r="E307" s="63" t="str">
        <f t="shared" si="5"/>
        <v/>
      </c>
    </row>
    <row r="308" spans="5:5">
      <c r="E308" s="63" t="str">
        <f t="shared" si="5"/>
        <v/>
      </c>
    </row>
    <row r="309" spans="5:5">
      <c r="E309" s="63" t="str">
        <f t="shared" si="5"/>
        <v/>
      </c>
    </row>
    <row r="310" spans="5:5">
      <c r="E310" s="63" t="str">
        <f t="shared" si="5"/>
        <v/>
      </c>
    </row>
    <row r="311" spans="5:5">
      <c r="E311" s="63" t="str">
        <f t="shared" si="5"/>
        <v/>
      </c>
    </row>
    <row r="312" spans="5:5">
      <c r="E312" s="63" t="str">
        <f t="shared" si="5"/>
        <v/>
      </c>
    </row>
    <row r="313" spans="5:5">
      <c r="E313" s="63" t="str">
        <f t="shared" si="5"/>
        <v/>
      </c>
    </row>
    <row r="314" spans="5:5">
      <c r="E314" s="63" t="str">
        <f t="shared" si="5"/>
        <v/>
      </c>
    </row>
    <row r="315" spans="5:5">
      <c r="E315" s="63" t="str">
        <f t="shared" si="5"/>
        <v/>
      </c>
    </row>
    <row r="316" spans="5:5">
      <c r="E316" s="63" t="str">
        <f t="shared" si="5"/>
        <v/>
      </c>
    </row>
    <row r="317" spans="5:5">
      <c r="E317" s="63" t="str">
        <f t="shared" si="5"/>
        <v/>
      </c>
    </row>
    <row r="318" spans="5:5">
      <c r="E318" s="63" t="str">
        <f t="shared" si="5"/>
        <v/>
      </c>
    </row>
    <row r="319" spans="5:5">
      <c r="E319" s="63" t="str">
        <f t="shared" si="5"/>
        <v/>
      </c>
    </row>
    <row r="320" spans="5:5">
      <c r="E320" s="63" t="str">
        <f t="shared" si="5"/>
        <v/>
      </c>
    </row>
    <row r="321" spans="5:5">
      <c r="E321" s="63" t="str">
        <f t="shared" si="5"/>
        <v/>
      </c>
    </row>
    <row r="322" spans="5:5">
      <c r="E322" s="63" t="str">
        <f t="shared" si="5"/>
        <v/>
      </c>
    </row>
    <row r="323" spans="5:5">
      <c r="E323" s="63" t="str">
        <f t="shared" si="5"/>
        <v/>
      </c>
    </row>
    <row r="324" spans="5:5">
      <c r="E324" s="63" t="str">
        <f t="shared" si="5"/>
        <v/>
      </c>
    </row>
    <row r="325" spans="5:5">
      <c r="E325" s="63" t="str">
        <f t="shared" ref="E325:E388" si="6">IF(OR(C325="",D325=""),"",C325*D325)</f>
        <v/>
      </c>
    </row>
    <row r="326" spans="5:5">
      <c r="E326" s="63" t="str">
        <f t="shared" si="6"/>
        <v/>
      </c>
    </row>
    <row r="327" spans="5:5">
      <c r="E327" s="63" t="str">
        <f t="shared" si="6"/>
        <v/>
      </c>
    </row>
    <row r="328" spans="5:5">
      <c r="E328" s="63" t="str">
        <f t="shared" si="6"/>
        <v/>
      </c>
    </row>
    <row r="329" spans="5:5">
      <c r="E329" s="63" t="str">
        <f t="shared" si="6"/>
        <v/>
      </c>
    </row>
    <row r="330" spans="5:5">
      <c r="E330" s="63" t="str">
        <f t="shared" si="6"/>
        <v/>
      </c>
    </row>
    <row r="331" spans="5:5">
      <c r="E331" s="63" t="str">
        <f t="shared" si="6"/>
        <v/>
      </c>
    </row>
    <row r="332" spans="5:5">
      <c r="E332" s="63" t="str">
        <f t="shared" si="6"/>
        <v/>
      </c>
    </row>
    <row r="333" spans="5:5">
      <c r="E333" s="63" t="str">
        <f t="shared" si="6"/>
        <v/>
      </c>
    </row>
    <row r="334" spans="5:5">
      <c r="E334" s="63" t="str">
        <f t="shared" si="6"/>
        <v/>
      </c>
    </row>
    <row r="335" spans="5:5">
      <c r="E335" s="63" t="str">
        <f t="shared" si="6"/>
        <v/>
      </c>
    </row>
    <row r="336" spans="5:5">
      <c r="E336" s="63" t="str">
        <f t="shared" si="6"/>
        <v/>
      </c>
    </row>
    <row r="337" spans="5:5">
      <c r="E337" s="63" t="str">
        <f t="shared" si="6"/>
        <v/>
      </c>
    </row>
    <row r="338" spans="5:5">
      <c r="E338" s="63" t="str">
        <f t="shared" si="6"/>
        <v/>
      </c>
    </row>
    <row r="339" spans="5:5">
      <c r="E339" s="63" t="str">
        <f t="shared" si="6"/>
        <v/>
      </c>
    </row>
    <row r="340" spans="5:5">
      <c r="E340" s="63" t="str">
        <f t="shared" si="6"/>
        <v/>
      </c>
    </row>
    <row r="341" spans="5:5">
      <c r="E341" s="63" t="str">
        <f t="shared" si="6"/>
        <v/>
      </c>
    </row>
    <row r="342" spans="5:5">
      <c r="E342" s="63" t="str">
        <f t="shared" si="6"/>
        <v/>
      </c>
    </row>
    <row r="343" spans="5:5">
      <c r="E343" s="63" t="str">
        <f t="shared" si="6"/>
        <v/>
      </c>
    </row>
    <row r="344" spans="5:5">
      <c r="E344" s="63" t="str">
        <f t="shared" si="6"/>
        <v/>
      </c>
    </row>
    <row r="345" spans="5:5">
      <c r="E345" s="63" t="str">
        <f t="shared" si="6"/>
        <v/>
      </c>
    </row>
    <row r="346" spans="5:5">
      <c r="E346" s="63" t="str">
        <f t="shared" si="6"/>
        <v/>
      </c>
    </row>
    <row r="347" spans="5:5">
      <c r="E347" s="63" t="str">
        <f t="shared" si="6"/>
        <v/>
      </c>
    </row>
    <row r="348" spans="5:5">
      <c r="E348" s="63" t="str">
        <f t="shared" si="6"/>
        <v/>
      </c>
    </row>
    <row r="349" spans="5:5">
      <c r="E349" s="63" t="str">
        <f t="shared" si="6"/>
        <v/>
      </c>
    </row>
    <row r="350" spans="5:5">
      <c r="E350" s="63" t="str">
        <f t="shared" si="6"/>
        <v/>
      </c>
    </row>
    <row r="351" spans="5:5">
      <c r="E351" s="63" t="str">
        <f t="shared" si="6"/>
        <v/>
      </c>
    </row>
    <row r="352" spans="5:5">
      <c r="E352" s="63" t="str">
        <f t="shared" si="6"/>
        <v/>
      </c>
    </row>
    <row r="353" spans="5:5">
      <c r="E353" s="63" t="str">
        <f t="shared" si="6"/>
        <v/>
      </c>
    </row>
    <row r="354" spans="5:5">
      <c r="E354" s="63" t="str">
        <f t="shared" si="6"/>
        <v/>
      </c>
    </row>
    <row r="355" spans="5:5">
      <c r="E355" s="63" t="str">
        <f t="shared" si="6"/>
        <v/>
      </c>
    </row>
    <row r="356" spans="5:5">
      <c r="E356" s="63" t="str">
        <f t="shared" si="6"/>
        <v/>
      </c>
    </row>
    <row r="357" spans="5:5">
      <c r="E357" s="63" t="str">
        <f t="shared" si="6"/>
        <v/>
      </c>
    </row>
    <row r="358" spans="5:5">
      <c r="E358" s="63" t="str">
        <f t="shared" si="6"/>
        <v/>
      </c>
    </row>
    <row r="359" spans="5:5">
      <c r="E359" s="63" t="str">
        <f t="shared" si="6"/>
        <v/>
      </c>
    </row>
    <row r="360" spans="5:5">
      <c r="E360" s="63" t="str">
        <f t="shared" si="6"/>
        <v/>
      </c>
    </row>
    <row r="361" spans="5:5">
      <c r="E361" s="63" t="str">
        <f t="shared" si="6"/>
        <v/>
      </c>
    </row>
    <row r="362" spans="5:5">
      <c r="E362" s="63" t="str">
        <f t="shared" si="6"/>
        <v/>
      </c>
    </row>
    <row r="363" spans="5:5">
      <c r="E363" s="63" t="str">
        <f t="shared" si="6"/>
        <v/>
      </c>
    </row>
    <row r="364" spans="5:5">
      <c r="E364" s="63" t="str">
        <f t="shared" si="6"/>
        <v/>
      </c>
    </row>
    <row r="365" spans="5:5">
      <c r="E365" s="63" t="str">
        <f t="shared" si="6"/>
        <v/>
      </c>
    </row>
    <row r="366" spans="5:5">
      <c r="E366" s="63" t="str">
        <f t="shared" si="6"/>
        <v/>
      </c>
    </row>
    <row r="367" spans="5:5">
      <c r="E367" s="63" t="str">
        <f t="shared" si="6"/>
        <v/>
      </c>
    </row>
    <row r="368" spans="5:5">
      <c r="E368" s="63" t="str">
        <f t="shared" si="6"/>
        <v/>
      </c>
    </row>
    <row r="369" spans="5:5">
      <c r="E369" s="63" t="str">
        <f t="shared" si="6"/>
        <v/>
      </c>
    </row>
    <row r="370" spans="5:5">
      <c r="E370" s="63" t="str">
        <f t="shared" si="6"/>
        <v/>
      </c>
    </row>
    <row r="371" spans="5:5">
      <c r="E371" s="63" t="str">
        <f t="shared" si="6"/>
        <v/>
      </c>
    </row>
    <row r="372" spans="5:5">
      <c r="E372" s="63" t="str">
        <f t="shared" si="6"/>
        <v/>
      </c>
    </row>
    <row r="373" spans="5:5">
      <c r="E373" s="63" t="str">
        <f t="shared" si="6"/>
        <v/>
      </c>
    </row>
    <row r="374" spans="5:5">
      <c r="E374" s="63" t="str">
        <f t="shared" si="6"/>
        <v/>
      </c>
    </row>
    <row r="375" spans="5:5">
      <c r="E375" s="63" t="str">
        <f t="shared" si="6"/>
        <v/>
      </c>
    </row>
    <row r="376" spans="5:5">
      <c r="E376" s="63" t="str">
        <f t="shared" si="6"/>
        <v/>
      </c>
    </row>
    <row r="377" spans="5:5">
      <c r="E377" s="63" t="str">
        <f t="shared" si="6"/>
        <v/>
      </c>
    </row>
    <row r="378" spans="5:5">
      <c r="E378" s="63" t="str">
        <f t="shared" si="6"/>
        <v/>
      </c>
    </row>
    <row r="379" spans="5:5">
      <c r="E379" s="63" t="str">
        <f t="shared" si="6"/>
        <v/>
      </c>
    </row>
    <row r="380" spans="5:5">
      <c r="E380" s="63" t="str">
        <f t="shared" si="6"/>
        <v/>
      </c>
    </row>
    <row r="381" spans="5:5">
      <c r="E381" s="63" t="str">
        <f t="shared" si="6"/>
        <v/>
      </c>
    </row>
    <row r="382" spans="5:5">
      <c r="E382" s="63" t="str">
        <f t="shared" si="6"/>
        <v/>
      </c>
    </row>
    <row r="383" spans="5:5">
      <c r="E383" s="63" t="str">
        <f t="shared" si="6"/>
        <v/>
      </c>
    </row>
    <row r="384" spans="5:5">
      <c r="E384" s="63" t="str">
        <f t="shared" si="6"/>
        <v/>
      </c>
    </row>
    <row r="385" spans="5:5">
      <c r="E385" s="63" t="str">
        <f t="shared" si="6"/>
        <v/>
      </c>
    </row>
    <row r="386" spans="5:5">
      <c r="E386" s="63" t="str">
        <f t="shared" si="6"/>
        <v/>
      </c>
    </row>
    <row r="387" spans="5:5">
      <c r="E387" s="63" t="str">
        <f t="shared" si="6"/>
        <v/>
      </c>
    </row>
    <row r="388" spans="5:5">
      <c r="E388" s="63" t="str">
        <f t="shared" si="6"/>
        <v/>
      </c>
    </row>
    <row r="389" spans="5:5">
      <c r="E389" s="63" t="str">
        <f t="shared" ref="E389:E400" si="7">IF(OR(C389="",D389=""),"",C389*D389)</f>
        <v/>
      </c>
    </row>
    <row r="390" spans="5:5">
      <c r="E390" s="63" t="str">
        <f t="shared" si="7"/>
        <v/>
      </c>
    </row>
    <row r="391" spans="5:5">
      <c r="E391" s="63" t="str">
        <f t="shared" si="7"/>
        <v/>
      </c>
    </row>
    <row r="392" spans="5:5">
      <c r="E392" s="63" t="str">
        <f t="shared" si="7"/>
        <v/>
      </c>
    </row>
    <row r="393" spans="5:5">
      <c r="E393" s="63" t="str">
        <f t="shared" si="7"/>
        <v/>
      </c>
    </row>
    <row r="394" spans="5:5">
      <c r="E394" s="63" t="str">
        <f t="shared" si="7"/>
        <v/>
      </c>
    </row>
    <row r="395" spans="5:5">
      <c r="E395" s="63" t="str">
        <f t="shared" si="7"/>
        <v/>
      </c>
    </row>
    <row r="396" spans="5:5">
      <c r="E396" s="63" t="str">
        <f t="shared" si="7"/>
        <v/>
      </c>
    </row>
    <row r="397" spans="5:5">
      <c r="E397" s="63" t="str">
        <f t="shared" si="7"/>
        <v/>
      </c>
    </row>
    <row r="398" spans="5:5">
      <c r="E398" s="63" t="str">
        <f t="shared" si="7"/>
        <v/>
      </c>
    </row>
    <row r="399" spans="5:5">
      <c r="E399" s="63" t="str">
        <f t="shared" si="7"/>
        <v/>
      </c>
    </row>
    <row r="400" spans="5:5">
      <c r="E400" s="63" t="str">
        <f t="shared" si="7"/>
        <v/>
      </c>
    </row>
  </sheetData>
  <autoFilter ref="A6:O66" xr:uid="{00000000-0009-0000-0000-000007000000}"/>
  <dataValidations count="7">
    <dataValidation type="list" allowBlank="1" errorTitle="Fora da lista" error="Escolha um item da lista. Para incluir outro, use a aba PARAMETROS." promptTitle="Status" prompt="Clique na seta e escolha." sqref="L13:L292 M12 L7:L11" xr:uid="{41FE22AF-65D0-440C-9C78-960C0B711F8B}">
      <formula1>ListaStatus</formula1>
    </dataValidation>
    <dataValidation type="list" allowBlank="1" errorTitle="Fora da lista" error="Escolha um item da lista. Para incluir outro, use a aba PARAMETROS." promptTitle="Motivo De Recusa" prompt="Clique na seta e escolha." sqref="N7:N292" xr:uid="{022F572A-1864-444F-A31E-7919E1456F91}">
      <formula1>ListaMotivos</formula1>
    </dataValidation>
    <dataValidation type="list" allowBlank="1" errorTitle="Fora da lista" error="Escolha um item da lista. Para incluir outro, use a aba PARAMETROS." promptTitle="Fluxo" prompt="Clique na seta e escolha." sqref="K7:K292" xr:uid="{CF181207-FEFB-4848-95CE-296208AAF7BD}">
      <formula1>ListaFluxo</formula1>
    </dataValidation>
    <dataValidation type="list" allowBlank="1" errorTitle="Fora da lista" error="Escolha um item da lista. Para incluir outro, use a aba PARAMETROS." promptTitle="Parceiro Indicador" prompt="Clique na seta e escolha." sqref="I7:I292" xr:uid="{3981D5EA-412C-4A0A-BB2D-A5EAE2E642DB}">
      <formula1>ListaIndicadores</formula1>
    </dataValidation>
    <dataValidation type="list" allowBlank="1" errorTitle="Fora da lista" error="Escolha um item da lista. Para incluir outro, use a aba PARAMETROS." promptTitle="Instituição" prompt="Clique na seta e escolha." sqref="H7:H292" xr:uid="{B94E9084-BFB8-4DA6-9485-04F78F4486A8}">
      <formula1>ListaParceiros</formula1>
    </dataValidation>
    <dataValidation type="list" allowBlank="1" errorTitle="Fora da lista" error="Escolha um item da lista. Para incluir outro, use a aba PARAMETROS." promptTitle="Mandato" prompt="Clique na seta e escolha." sqref="F7:F292" xr:uid="{0F321671-F01E-4496-89DD-503FF0895B27}">
      <formula1>ListaMandato</formula1>
    </dataValidation>
    <dataValidation type="list" allowBlank="1" errorTitle="Fora da lista" error="Escolha um item da lista. Para incluir outro, use a aba PARAMETROS." promptTitle="Operação" prompt="Clique na seta e escolha." sqref="B7:B292" xr:uid="{B487FE8B-3D13-4E8C-AB94-9DA0DC08F662}">
      <formula1>ListaOperacoes</formula1>
    </dataValidation>
  </dataValidation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3"/>
  <sheetViews>
    <sheetView showGridLines="0" workbookViewId="0">
      <pane ySplit="5" topLeftCell="A6" activePane="bottomLeft" state="frozen"/>
      <selection pane="bottomLeft" activeCell="B83" sqref="B83"/>
    </sheetView>
  </sheetViews>
  <sheetFormatPr defaultRowHeight="14.45"/>
  <cols>
    <col min="1" max="1" width="34" customWidth="1"/>
    <col min="2" max="2" width="10" customWidth="1"/>
    <col min="3" max="3" width="2.42578125" customWidth="1"/>
    <col min="4" max="4" width="22" customWidth="1"/>
    <col min="5" max="5" width="10" customWidth="1"/>
    <col min="6" max="6" width="2.42578125" customWidth="1"/>
    <col min="7" max="7" width="26" customWidth="1"/>
    <col min="8" max="8" width="10" customWidth="1"/>
    <col min="9" max="9" width="2.42578125" customWidth="1"/>
    <col min="10" max="10" width="23" customWidth="1"/>
    <col min="11" max="11" width="10" customWidth="1"/>
    <col min="12" max="12" width="2.42578125" customWidth="1"/>
    <col min="13" max="13" width="20" customWidth="1"/>
    <col min="14" max="14" width="10" customWidth="1"/>
    <col min="15" max="15" width="2.42578125" customWidth="1"/>
    <col min="16" max="16" width="16" customWidth="1"/>
    <col min="17" max="17" width="10" customWidth="1"/>
    <col min="18" max="18" width="2.42578125" customWidth="1"/>
    <col min="19" max="19" width="20" customWidth="1"/>
    <col min="20" max="20" width="10" customWidth="1"/>
    <col min="21" max="21" width="2.42578125" customWidth="1"/>
    <col min="22" max="22" width="34" customWidth="1"/>
    <col min="23" max="23" width="10" customWidth="1"/>
    <col min="24" max="24" width="2.42578125" customWidth="1"/>
  </cols>
  <sheetData>
    <row r="1" spans="1:23" ht="24" customHeight="1">
      <c r="A1" s="1" t="s">
        <v>223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</row>
    <row r="2" spans="1:23" ht="14.1" customHeight="1">
      <c r="A2" s="2" t="s">
        <v>224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</row>
    <row r="3" spans="1:23">
      <c r="A3" s="3" t="s">
        <v>225</v>
      </c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</row>
    <row r="5" spans="1:23" ht="20.100000000000001" customHeight="1">
      <c r="A5" s="4" t="s">
        <v>226</v>
      </c>
      <c r="B5" s="5" t="s">
        <v>227</v>
      </c>
      <c r="C5" s="117"/>
      <c r="D5" s="4" t="s">
        <v>228</v>
      </c>
      <c r="E5" s="5" t="s">
        <v>227</v>
      </c>
      <c r="F5" s="117"/>
      <c r="G5" s="4" t="s">
        <v>229</v>
      </c>
      <c r="H5" s="5" t="s">
        <v>227</v>
      </c>
      <c r="I5" s="117"/>
      <c r="J5" s="4" t="s">
        <v>11</v>
      </c>
      <c r="K5" s="5" t="s">
        <v>227</v>
      </c>
      <c r="L5" s="117"/>
      <c r="M5" s="4" t="s">
        <v>10</v>
      </c>
      <c r="N5" s="5" t="s">
        <v>227</v>
      </c>
      <c r="O5" s="117"/>
      <c r="P5" s="4" t="s">
        <v>5</v>
      </c>
      <c r="Q5" s="5" t="s">
        <v>227</v>
      </c>
      <c r="R5" s="117"/>
      <c r="S5" s="4" t="s">
        <v>230</v>
      </c>
      <c r="T5" s="5" t="s">
        <v>227</v>
      </c>
      <c r="U5" s="117"/>
      <c r="V5" s="4" t="s">
        <v>13</v>
      </c>
      <c r="W5" s="5" t="s">
        <v>227</v>
      </c>
    </row>
    <row r="6" spans="1:23">
      <c r="A6" s="6" t="s">
        <v>18</v>
      </c>
      <c r="B6" s="7" t="s">
        <v>231</v>
      </c>
      <c r="C6" s="117"/>
      <c r="D6" s="62" t="s">
        <v>232</v>
      </c>
      <c r="E6" s="7" t="s">
        <v>231</v>
      </c>
      <c r="F6" s="117"/>
      <c r="G6" s="62" t="s">
        <v>29</v>
      </c>
      <c r="H6" s="7" t="s">
        <v>231</v>
      </c>
      <c r="I6" s="117"/>
      <c r="J6" s="6" t="s">
        <v>32</v>
      </c>
      <c r="K6" s="7" t="s">
        <v>231</v>
      </c>
      <c r="L6" s="117"/>
      <c r="M6" s="6" t="s">
        <v>26</v>
      </c>
      <c r="N6" s="7" t="s">
        <v>231</v>
      </c>
      <c r="O6" s="117"/>
      <c r="P6" s="6" t="s">
        <v>26</v>
      </c>
      <c r="Q6" s="7" t="s">
        <v>231</v>
      </c>
      <c r="R6" s="117"/>
      <c r="S6" s="6" t="s">
        <v>19</v>
      </c>
      <c r="T6" s="7" t="s">
        <v>231</v>
      </c>
      <c r="U6" s="117"/>
      <c r="V6" s="6" t="s">
        <v>233</v>
      </c>
      <c r="W6" s="7" t="s">
        <v>231</v>
      </c>
    </row>
    <row r="7" spans="1:23">
      <c r="A7" s="8" t="s">
        <v>96</v>
      </c>
      <c r="B7" s="9" t="s">
        <v>231</v>
      </c>
      <c r="C7" s="117"/>
      <c r="D7" s="62" t="s">
        <v>234</v>
      </c>
      <c r="E7" s="9" t="s">
        <v>231</v>
      </c>
      <c r="F7" s="117"/>
      <c r="G7" s="62" t="s">
        <v>16</v>
      </c>
      <c r="H7" s="9" t="s">
        <v>231</v>
      </c>
      <c r="I7" s="117"/>
      <c r="J7" s="8" t="s">
        <v>21</v>
      </c>
      <c r="K7" s="9" t="s">
        <v>231</v>
      </c>
      <c r="L7" s="117"/>
      <c r="M7" s="8" t="s">
        <v>134</v>
      </c>
      <c r="N7" s="9" t="s">
        <v>231</v>
      </c>
      <c r="O7" s="117"/>
      <c r="P7" s="8" t="s">
        <v>66</v>
      </c>
      <c r="Q7" s="9" t="s">
        <v>231</v>
      </c>
      <c r="R7" s="117"/>
      <c r="S7" s="6" t="s">
        <v>104</v>
      </c>
      <c r="T7" s="9" t="s">
        <v>231</v>
      </c>
      <c r="U7" s="117"/>
      <c r="V7" s="8" t="s">
        <v>235</v>
      </c>
      <c r="W7" s="9" t="s">
        <v>231</v>
      </c>
    </row>
    <row r="8" spans="1:23">
      <c r="A8" s="6" t="s">
        <v>44</v>
      </c>
      <c r="B8" s="7" t="s">
        <v>231</v>
      </c>
      <c r="C8" s="117"/>
      <c r="D8" s="62" t="s">
        <v>236</v>
      </c>
      <c r="E8" s="7" t="s">
        <v>231</v>
      </c>
      <c r="F8" s="117"/>
      <c r="G8" s="62" t="s">
        <v>237</v>
      </c>
      <c r="H8" s="7" t="s">
        <v>231</v>
      </c>
      <c r="I8" s="117"/>
      <c r="J8" s="6" t="s">
        <v>71</v>
      </c>
      <c r="K8" s="7" t="s">
        <v>231</v>
      </c>
      <c r="L8" s="117"/>
      <c r="M8" s="6" t="s">
        <v>66</v>
      </c>
      <c r="N8" s="7" t="s">
        <v>231</v>
      </c>
      <c r="O8" s="117"/>
      <c r="P8" s="6" t="s">
        <v>17</v>
      </c>
      <c r="Q8" s="7" t="s">
        <v>231</v>
      </c>
      <c r="R8" s="117"/>
      <c r="S8" s="6" t="s">
        <v>56</v>
      </c>
      <c r="T8" s="7" t="s">
        <v>231</v>
      </c>
      <c r="U8" s="117"/>
      <c r="V8" s="6" t="s">
        <v>238</v>
      </c>
      <c r="W8" s="7" t="s">
        <v>231</v>
      </c>
    </row>
    <row r="9" spans="1:23">
      <c r="A9" s="8" t="s">
        <v>239</v>
      </c>
      <c r="B9" s="9" t="s">
        <v>231</v>
      </c>
      <c r="C9" s="117"/>
      <c r="D9" s="62" t="s">
        <v>240</v>
      </c>
      <c r="E9" s="9" t="s">
        <v>231</v>
      </c>
      <c r="F9" s="117"/>
      <c r="G9" s="62" t="s">
        <v>25</v>
      </c>
      <c r="H9" s="9" t="s">
        <v>231</v>
      </c>
      <c r="I9" s="117"/>
      <c r="J9" s="8" t="s">
        <v>90</v>
      </c>
      <c r="K9" s="9" t="s">
        <v>231</v>
      </c>
      <c r="L9" s="117"/>
      <c r="M9" s="8" t="s">
        <v>20</v>
      </c>
      <c r="N9" s="9" t="s">
        <v>231</v>
      </c>
      <c r="O9" s="117"/>
      <c r="P9" s="8" t="s">
        <v>48</v>
      </c>
      <c r="Q9" s="9" t="s">
        <v>231</v>
      </c>
      <c r="R9" s="117"/>
      <c r="S9" s="6" t="s">
        <v>241</v>
      </c>
      <c r="T9" s="9" t="s">
        <v>231</v>
      </c>
      <c r="U9" s="117"/>
      <c r="V9" s="8" t="s">
        <v>242</v>
      </c>
      <c r="W9" s="9" t="s">
        <v>231</v>
      </c>
    </row>
    <row r="10" spans="1:23">
      <c r="A10" s="6" t="s">
        <v>99</v>
      </c>
      <c r="B10" s="7" t="s">
        <v>231</v>
      </c>
      <c r="C10" s="117"/>
      <c r="D10" s="62" t="s">
        <v>243</v>
      </c>
      <c r="E10" s="7" t="s">
        <v>231</v>
      </c>
      <c r="F10" s="117"/>
      <c r="G10" s="62" t="s">
        <v>83</v>
      </c>
      <c r="H10" s="7" t="s">
        <v>231</v>
      </c>
      <c r="I10" s="117"/>
      <c r="J10" s="6" t="s">
        <v>147</v>
      </c>
      <c r="K10" s="7" t="s">
        <v>231</v>
      </c>
      <c r="L10" s="117"/>
      <c r="M10" s="6" t="s">
        <v>137</v>
      </c>
      <c r="N10" s="7" t="s">
        <v>231</v>
      </c>
      <c r="O10" s="117"/>
      <c r="P10" s="117"/>
      <c r="Q10" s="117"/>
      <c r="R10" s="117"/>
      <c r="S10" s="6" t="s">
        <v>35</v>
      </c>
      <c r="T10" s="7" t="s">
        <v>231</v>
      </c>
      <c r="U10" s="117"/>
      <c r="V10" s="6" t="s">
        <v>244</v>
      </c>
      <c r="W10" s="7" t="s">
        <v>231</v>
      </c>
    </row>
    <row r="11" spans="1:23">
      <c r="A11" s="8" t="s">
        <v>245</v>
      </c>
      <c r="B11" s="9" t="s">
        <v>231</v>
      </c>
      <c r="C11" s="117"/>
      <c r="D11" s="62" t="s">
        <v>246</v>
      </c>
      <c r="E11" s="9" t="s">
        <v>231</v>
      </c>
      <c r="F11" s="117"/>
      <c r="G11" s="62" t="s">
        <v>55</v>
      </c>
      <c r="H11" s="9" t="s">
        <v>231</v>
      </c>
      <c r="I11" s="117"/>
      <c r="J11" s="8" t="s">
        <v>36</v>
      </c>
      <c r="K11" s="9" t="s">
        <v>231</v>
      </c>
      <c r="L11" s="117"/>
      <c r="M11" s="117"/>
      <c r="N11" s="7"/>
      <c r="O11" s="117"/>
      <c r="P11" s="117"/>
      <c r="Q11" s="117"/>
      <c r="R11" s="117"/>
      <c r="S11" s="6" t="s">
        <v>247</v>
      </c>
      <c r="T11" s="9" t="s">
        <v>231</v>
      </c>
      <c r="U11" s="117"/>
      <c r="V11" s="8" t="s">
        <v>175</v>
      </c>
      <c r="W11" s="9" t="s">
        <v>231</v>
      </c>
    </row>
    <row r="12" spans="1:23">
      <c r="A12" s="8" t="s">
        <v>248</v>
      </c>
      <c r="B12" s="9" t="s">
        <v>231</v>
      </c>
      <c r="C12" s="117"/>
      <c r="D12" s="117"/>
      <c r="E12" s="117"/>
      <c r="F12" s="117"/>
      <c r="G12" s="62" t="s">
        <v>216</v>
      </c>
      <c r="H12" s="7" t="s">
        <v>231</v>
      </c>
      <c r="I12" s="117"/>
      <c r="J12" s="6" t="s">
        <v>174</v>
      </c>
      <c r="K12" s="7" t="s">
        <v>231</v>
      </c>
      <c r="L12" s="117"/>
      <c r="M12" s="117"/>
      <c r="N12" s="117"/>
      <c r="O12" s="117"/>
      <c r="P12" s="117"/>
      <c r="Q12" s="117"/>
      <c r="R12" s="117"/>
      <c r="S12" s="6" t="s">
        <v>27</v>
      </c>
      <c r="T12" s="9" t="s">
        <v>231</v>
      </c>
      <c r="U12" s="117"/>
      <c r="V12" s="117"/>
      <c r="W12" s="117"/>
    </row>
    <row r="13" spans="1:23">
      <c r="A13" s="8" t="s">
        <v>249</v>
      </c>
      <c r="B13" s="9" t="s">
        <v>231</v>
      </c>
      <c r="C13" s="117"/>
      <c r="D13" s="117"/>
      <c r="E13" s="117"/>
      <c r="F13" s="117"/>
      <c r="G13" s="62" t="s">
        <v>250</v>
      </c>
      <c r="H13" s="9" t="s">
        <v>231</v>
      </c>
      <c r="I13" s="117"/>
      <c r="J13" s="8" t="s">
        <v>188</v>
      </c>
      <c r="K13" s="9" t="s">
        <v>231</v>
      </c>
      <c r="L13" s="117"/>
      <c r="M13" s="117"/>
      <c r="N13" s="117"/>
      <c r="O13" s="117"/>
      <c r="P13" s="117"/>
      <c r="Q13" s="117"/>
      <c r="R13" s="117"/>
      <c r="S13" s="6" t="s">
        <v>251</v>
      </c>
      <c r="T13" s="9" t="s">
        <v>231</v>
      </c>
      <c r="U13" s="117"/>
      <c r="V13" s="117"/>
      <c r="W13" s="117"/>
    </row>
    <row r="14" spans="1:23">
      <c r="A14" s="8" t="s">
        <v>252</v>
      </c>
      <c r="B14" s="9" t="s">
        <v>231</v>
      </c>
      <c r="C14" s="117"/>
      <c r="D14" s="117"/>
      <c r="E14" s="117"/>
      <c r="F14" s="117"/>
      <c r="G14" s="62" t="s">
        <v>253</v>
      </c>
      <c r="H14" s="7" t="s">
        <v>231</v>
      </c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6" t="s">
        <v>214</v>
      </c>
      <c r="T14" s="9" t="s">
        <v>231</v>
      </c>
      <c r="U14" s="117"/>
      <c r="V14" s="117"/>
      <c r="W14" s="117"/>
    </row>
    <row r="15" spans="1:23">
      <c r="A15" s="6" t="s">
        <v>254</v>
      </c>
      <c r="B15" s="7" t="s">
        <v>231</v>
      </c>
      <c r="C15" s="117"/>
      <c r="D15" s="117"/>
      <c r="E15" s="117"/>
      <c r="F15" s="117"/>
      <c r="G15" s="62" t="s">
        <v>255</v>
      </c>
      <c r="H15" s="9" t="s">
        <v>231</v>
      </c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6" t="s">
        <v>31</v>
      </c>
      <c r="T15" s="9" t="s">
        <v>231</v>
      </c>
      <c r="U15" s="117"/>
      <c r="V15" s="117"/>
      <c r="W15" s="117"/>
    </row>
    <row r="16" spans="1:23">
      <c r="A16" s="8" t="s">
        <v>256</v>
      </c>
      <c r="B16" s="9" t="s">
        <v>231</v>
      </c>
      <c r="C16" s="117"/>
      <c r="D16" s="117"/>
      <c r="E16" s="117"/>
      <c r="F16" s="117"/>
      <c r="G16" s="62" t="s">
        <v>257</v>
      </c>
      <c r="H16" s="7" t="s">
        <v>231</v>
      </c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6" t="s">
        <v>258</v>
      </c>
      <c r="T16" s="9" t="s">
        <v>231</v>
      </c>
      <c r="U16" s="117"/>
      <c r="V16" s="117"/>
      <c r="W16" s="117"/>
    </row>
    <row r="17" spans="1:20">
      <c r="A17" s="6" t="s">
        <v>259</v>
      </c>
      <c r="B17" s="7" t="s">
        <v>231</v>
      </c>
      <c r="C17" s="117"/>
      <c r="D17" s="117"/>
      <c r="E17" s="117"/>
      <c r="F17" s="117"/>
      <c r="G17" s="62" t="s">
        <v>260</v>
      </c>
      <c r="H17" s="9" t="s">
        <v>231</v>
      </c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 t="s">
        <v>180</v>
      </c>
      <c r="T17" s="100" t="s">
        <v>231</v>
      </c>
    </row>
    <row r="18" spans="1:20">
      <c r="A18" s="8" t="s">
        <v>261</v>
      </c>
      <c r="B18" s="9" t="s">
        <v>231</v>
      </c>
      <c r="C18" s="117"/>
      <c r="D18" s="117"/>
      <c r="E18" s="117"/>
      <c r="F18" s="117"/>
      <c r="G18" s="62" t="s">
        <v>262</v>
      </c>
      <c r="H18" s="9" t="s">
        <v>231</v>
      </c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 t="s">
        <v>263</v>
      </c>
      <c r="T18" s="117" t="s">
        <v>231</v>
      </c>
    </row>
    <row r="19" spans="1:20">
      <c r="A19" s="6" t="s">
        <v>264</v>
      </c>
      <c r="B19" s="7" t="s">
        <v>231</v>
      </c>
      <c r="C19" s="117"/>
      <c r="D19" s="117"/>
      <c r="E19" s="117"/>
      <c r="F19" s="117"/>
      <c r="G19" s="62" t="s">
        <v>265</v>
      </c>
      <c r="H19" s="9" t="s">
        <v>231</v>
      </c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</row>
    <row r="20" spans="1:20">
      <c r="A20" s="8" t="s">
        <v>266</v>
      </c>
      <c r="B20" s="9" t="s">
        <v>231</v>
      </c>
      <c r="C20" s="117"/>
      <c r="D20" s="117"/>
      <c r="E20" s="117"/>
      <c r="F20" s="117"/>
      <c r="G20" s="62" t="s">
        <v>267</v>
      </c>
      <c r="H20" s="9" t="s">
        <v>231</v>
      </c>
      <c r="I20" s="117"/>
      <c r="J20" s="117"/>
      <c r="K20" s="117"/>
      <c r="L20" s="117"/>
      <c r="M20" s="117"/>
      <c r="N20" s="117"/>
      <c r="O20" s="117"/>
      <c r="P20" s="117"/>
      <c r="Q20" s="117"/>
      <c r="R20" s="117"/>
      <c r="S20" s="117"/>
      <c r="T20" s="117"/>
    </row>
    <row r="21" spans="1:20">
      <c r="A21" s="6" t="s">
        <v>268</v>
      </c>
      <c r="B21" s="7" t="s">
        <v>231</v>
      </c>
      <c r="C21" s="117"/>
      <c r="D21" s="117"/>
      <c r="E21" s="117"/>
      <c r="F21" s="117"/>
      <c r="G21" s="62" t="s">
        <v>269</v>
      </c>
      <c r="H21" s="9" t="s">
        <v>231</v>
      </c>
      <c r="I21" s="117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</row>
    <row r="22" spans="1:20">
      <c r="A22" s="8" t="s">
        <v>270</v>
      </c>
      <c r="B22" s="9" t="s">
        <v>231</v>
      </c>
      <c r="C22" s="117"/>
      <c r="D22" s="117"/>
      <c r="E22" s="117"/>
      <c r="F22" s="117"/>
      <c r="G22" s="62" t="s">
        <v>271</v>
      </c>
      <c r="H22" s="9" t="s">
        <v>231</v>
      </c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</row>
    <row r="23" spans="1:20">
      <c r="A23" s="6" t="s">
        <v>272</v>
      </c>
      <c r="B23" s="7" t="s">
        <v>231</v>
      </c>
      <c r="C23" s="117"/>
      <c r="D23" s="117"/>
      <c r="E23" s="117"/>
      <c r="F23" s="117"/>
      <c r="G23" s="62" t="s">
        <v>273</v>
      </c>
      <c r="H23" s="9" t="s">
        <v>231</v>
      </c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</row>
    <row r="24" spans="1:20">
      <c r="A24" s="8" t="s">
        <v>274</v>
      </c>
      <c r="B24" s="9" t="s">
        <v>231</v>
      </c>
      <c r="C24" s="117"/>
      <c r="D24" s="117"/>
      <c r="E24" s="117"/>
      <c r="F24" s="117"/>
      <c r="G24" s="62" t="s">
        <v>275</v>
      </c>
      <c r="H24" s="9" t="s">
        <v>231</v>
      </c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</row>
    <row r="25" spans="1:20">
      <c r="A25" s="6" t="s">
        <v>276</v>
      </c>
      <c r="B25" s="7" t="s">
        <v>231</v>
      </c>
      <c r="C25" s="117"/>
      <c r="D25" s="117"/>
      <c r="E25" s="117"/>
      <c r="F25" s="117"/>
      <c r="G25" s="62" t="s">
        <v>277</v>
      </c>
      <c r="H25" s="9" t="s">
        <v>231</v>
      </c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</row>
    <row r="26" spans="1:20">
      <c r="A26" s="8" t="s">
        <v>278</v>
      </c>
      <c r="B26" s="9" t="s">
        <v>231</v>
      </c>
      <c r="C26" s="117"/>
      <c r="D26" s="117"/>
      <c r="E26" s="117"/>
      <c r="F26" s="117"/>
      <c r="G26" s="62" t="s">
        <v>279</v>
      </c>
      <c r="H26" s="9" t="s">
        <v>231</v>
      </c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</row>
    <row r="27" spans="1:20">
      <c r="A27" s="6" t="s">
        <v>280</v>
      </c>
      <c r="B27" s="7" t="s">
        <v>231</v>
      </c>
      <c r="C27" s="117"/>
      <c r="D27" s="117"/>
      <c r="E27" s="117"/>
      <c r="F27" s="117"/>
      <c r="G27" s="62" t="s">
        <v>281</v>
      </c>
      <c r="H27" s="9" t="s">
        <v>231</v>
      </c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</row>
    <row r="28" spans="1:20">
      <c r="A28" s="8" t="s">
        <v>282</v>
      </c>
      <c r="B28" s="9" t="s">
        <v>231</v>
      </c>
      <c r="C28" s="117"/>
      <c r="D28" s="117"/>
      <c r="E28" s="117"/>
      <c r="F28" s="117"/>
      <c r="G28" s="62" t="s">
        <v>283</v>
      </c>
      <c r="H28" s="9" t="s">
        <v>231</v>
      </c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</row>
    <row r="29" spans="1:20">
      <c r="A29" s="6" t="s">
        <v>284</v>
      </c>
      <c r="B29" s="7" t="s">
        <v>231</v>
      </c>
      <c r="C29" s="117"/>
      <c r="D29" s="117"/>
      <c r="E29" s="117"/>
      <c r="F29" s="117"/>
      <c r="G29" s="62" t="s">
        <v>285</v>
      </c>
      <c r="H29" s="9" t="s">
        <v>231</v>
      </c>
      <c r="I29" s="117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</row>
    <row r="30" spans="1:20">
      <c r="A30" s="8" t="s">
        <v>286</v>
      </c>
      <c r="B30" s="9" t="s">
        <v>231</v>
      </c>
      <c r="C30" s="117"/>
      <c r="D30" s="117"/>
      <c r="E30" s="117"/>
      <c r="F30" s="117"/>
      <c r="G30" s="62" t="s">
        <v>287</v>
      </c>
      <c r="H30" s="9" t="s">
        <v>231</v>
      </c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</row>
    <row r="31" spans="1:20">
      <c r="A31" s="6" t="s">
        <v>288</v>
      </c>
      <c r="B31" s="7" t="s">
        <v>231</v>
      </c>
      <c r="C31" s="117"/>
      <c r="D31" s="117"/>
      <c r="E31" s="117"/>
      <c r="F31" s="117"/>
      <c r="G31" s="62" t="s">
        <v>289</v>
      </c>
      <c r="H31" s="9" t="s">
        <v>231</v>
      </c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</row>
    <row r="32" spans="1:20">
      <c r="A32" s="8" t="s">
        <v>290</v>
      </c>
      <c r="B32" s="9" t="s">
        <v>231</v>
      </c>
      <c r="C32" s="117"/>
      <c r="D32" s="117"/>
      <c r="E32" s="117"/>
      <c r="F32" s="117"/>
      <c r="G32" s="62" t="s">
        <v>291</v>
      </c>
      <c r="H32" s="9" t="s">
        <v>231</v>
      </c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</row>
    <row r="33" spans="1:8">
      <c r="A33" s="6" t="s">
        <v>292</v>
      </c>
      <c r="B33" s="7" t="s">
        <v>231</v>
      </c>
      <c r="C33" s="117"/>
      <c r="D33" s="117"/>
      <c r="E33" s="117"/>
      <c r="F33" s="117"/>
      <c r="G33" s="62" t="s">
        <v>114</v>
      </c>
      <c r="H33" s="9" t="s">
        <v>231</v>
      </c>
    </row>
    <row r="34" spans="1:8">
      <c r="A34" s="8" t="s">
        <v>165</v>
      </c>
      <c r="B34" s="9" t="s">
        <v>231</v>
      </c>
      <c r="C34" s="117"/>
      <c r="D34" s="117"/>
      <c r="E34" s="117"/>
      <c r="F34" s="117"/>
      <c r="G34" s="117" t="s">
        <v>146</v>
      </c>
      <c r="H34" s="100" t="s">
        <v>231</v>
      </c>
    </row>
    <row r="35" spans="1:8">
      <c r="A35" s="6" t="s">
        <v>293</v>
      </c>
      <c r="B35" s="7" t="s">
        <v>231</v>
      </c>
      <c r="C35" s="117"/>
      <c r="D35" s="117"/>
      <c r="E35" s="117"/>
      <c r="F35" s="117"/>
      <c r="G35" s="103" t="s">
        <v>42</v>
      </c>
      <c r="H35" s="117" t="s">
        <v>231</v>
      </c>
    </row>
    <row r="36" spans="1:8">
      <c r="A36" s="8" t="s">
        <v>294</v>
      </c>
      <c r="B36" s="9" t="s">
        <v>231</v>
      </c>
      <c r="C36" s="117"/>
      <c r="D36" s="117"/>
      <c r="E36" s="117"/>
      <c r="F36" s="117"/>
      <c r="G36" s="103" t="s">
        <v>295</v>
      </c>
      <c r="H36" s="117" t="s">
        <v>231</v>
      </c>
    </row>
    <row r="37" spans="1:8">
      <c r="A37" s="6" t="s">
        <v>84</v>
      </c>
      <c r="B37" s="7" t="s">
        <v>231</v>
      </c>
      <c r="C37" s="117"/>
      <c r="D37" s="117"/>
      <c r="E37" s="117"/>
      <c r="F37" s="117"/>
      <c r="G37" s="103" t="s">
        <v>219</v>
      </c>
      <c r="H37" s="117" t="s">
        <v>231</v>
      </c>
    </row>
    <row r="38" spans="1:8">
      <c r="A38" s="8" t="s">
        <v>296</v>
      </c>
      <c r="B38" s="9" t="s">
        <v>231</v>
      </c>
      <c r="C38" s="117"/>
      <c r="D38" s="117"/>
      <c r="E38" s="117"/>
      <c r="F38" s="117"/>
      <c r="G38" s="103" t="s">
        <v>297</v>
      </c>
      <c r="H38" s="117" t="s">
        <v>231</v>
      </c>
    </row>
    <row r="39" spans="1:8">
      <c r="A39" s="8" t="s">
        <v>298</v>
      </c>
      <c r="B39" s="9" t="s">
        <v>231</v>
      </c>
      <c r="C39" s="117"/>
      <c r="D39" s="117"/>
      <c r="E39" s="117"/>
      <c r="F39" s="117"/>
      <c r="G39" s="117"/>
      <c r="H39" s="117"/>
    </row>
    <row r="40" spans="1:8">
      <c r="A40" s="6" t="s">
        <v>299</v>
      </c>
      <c r="B40" s="7" t="s">
        <v>231</v>
      </c>
      <c r="C40" s="117"/>
      <c r="D40" s="117"/>
      <c r="E40" s="117"/>
      <c r="F40" s="117"/>
      <c r="G40" s="117"/>
      <c r="H40" s="117"/>
    </row>
    <row r="41" spans="1:8">
      <c r="A41" s="8" t="s">
        <v>300</v>
      </c>
      <c r="B41" s="7" t="s">
        <v>231</v>
      </c>
      <c r="C41" s="117"/>
      <c r="D41" s="117"/>
      <c r="E41" s="117"/>
      <c r="F41" s="117"/>
      <c r="G41" s="117"/>
      <c r="H41" s="117"/>
    </row>
    <row r="42" spans="1:8">
      <c r="A42" s="8" t="s">
        <v>192</v>
      </c>
      <c r="B42" s="9" t="s">
        <v>231</v>
      </c>
      <c r="C42" s="117"/>
      <c r="D42" s="117"/>
      <c r="E42" s="117"/>
      <c r="F42" s="117"/>
      <c r="G42" s="117"/>
      <c r="H42" s="117"/>
    </row>
    <row r="43" spans="1:8">
      <c r="A43" s="6" t="s">
        <v>301</v>
      </c>
      <c r="B43" s="7" t="s">
        <v>231</v>
      </c>
      <c r="C43" s="117"/>
      <c r="D43" s="117"/>
      <c r="E43" s="117"/>
      <c r="F43" s="117"/>
      <c r="G43" s="117"/>
      <c r="H43" s="117"/>
    </row>
    <row r="44" spans="1:8">
      <c r="A44" s="8" t="s">
        <v>302</v>
      </c>
      <c r="B44" s="9" t="s">
        <v>231</v>
      </c>
      <c r="C44" s="117"/>
      <c r="D44" s="117"/>
      <c r="E44" s="117"/>
      <c r="F44" s="117"/>
      <c r="G44" s="117"/>
      <c r="H44" s="117"/>
    </row>
    <row r="45" spans="1:8">
      <c r="A45" s="6" t="s">
        <v>303</v>
      </c>
      <c r="B45" s="7" t="s">
        <v>231</v>
      </c>
      <c r="C45" s="117"/>
      <c r="D45" s="117"/>
      <c r="E45" s="117"/>
      <c r="F45" s="117"/>
      <c r="G45" s="117"/>
      <c r="H45" s="117"/>
    </row>
    <row r="46" spans="1:8">
      <c r="A46" s="8" t="s">
        <v>33</v>
      </c>
      <c r="B46" s="9" t="s">
        <v>231</v>
      </c>
      <c r="C46" s="117"/>
      <c r="D46" s="117"/>
      <c r="E46" s="117"/>
      <c r="F46" s="117"/>
      <c r="G46" s="117"/>
      <c r="H46" s="117"/>
    </row>
    <row r="47" spans="1:8">
      <c r="A47" s="6" t="s">
        <v>304</v>
      </c>
      <c r="B47" s="7" t="s">
        <v>231</v>
      </c>
      <c r="C47" s="117"/>
      <c r="D47" s="117"/>
      <c r="E47" s="117"/>
      <c r="F47" s="117"/>
      <c r="G47" s="117"/>
      <c r="H47" s="117"/>
    </row>
    <row r="48" spans="1:8">
      <c r="A48" s="8" t="s">
        <v>305</v>
      </c>
      <c r="B48" s="9" t="s">
        <v>231</v>
      </c>
      <c r="C48" s="117"/>
      <c r="D48" s="117"/>
      <c r="E48" s="117"/>
      <c r="F48" s="117"/>
      <c r="G48" s="117"/>
      <c r="H48" s="117"/>
    </row>
    <row r="49" spans="1:2">
      <c r="A49" s="6" t="s">
        <v>306</v>
      </c>
      <c r="B49" s="7" t="s">
        <v>231</v>
      </c>
    </row>
    <row r="50" spans="1:2">
      <c r="A50" s="8" t="s">
        <v>307</v>
      </c>
      <c r="B50" s="9" t="s">
        <v>231</v>
      </c>
    </row>
    <row r="51" spans="1:2">
      <c r="A51" s="6" t="s">
        <v>308</v>
      </c>
      <c r="B51" s="7" t="s">
        <v>231</v>
      </c>
    </row>
    <row r="52" spans="1:2">
      <c r="A52" s="8" t="s">
        <v>309</v>
      </c>
      <c r="B52" s="9" t="s">
        <v>231</v>
      </c>
    </row>
    <row r="53" spans="1:2">
      <c r="A53" s="6" t="s">
        <v>53</v>
      </c>
      <c r="B53" s="7" t="s">
        <v>231</v>
      </c>
    </row>
    <row r="54" spans="1:2">
      <c r="A54" s="8" t="s">
        <v>203</v>
      </c>
      <c r="B54" s="9" t="s">
        <v>231</v>
      </c>
    </row>
    <row r="55" spans="1:2">
      <c r="A55" s="6" t="s">
        <v>310</v>
      </c>
      <c r="B55" s="7" t="s">
        <v>231</v>
      </c>
    </row>
    <row r="56" spans="1:2">
      <c r="A56" s="8" t="s">
        <v>311</v>
      </c>
      <c r="B56" s="9" t="s">
        <v>231</v>
      </c>
    </row>
    <row r="57" spans="1:2">
      <c r="A57" s="8" t="s">
        <v>107</v>
      </c>
      <c r="B57" s="7" t="s">
        <v>231</v>
      </c>
    </row>
    <row r="58" spans="1:2">
      <c r="A58" s="6" t="s">
        <v>312</v>
      </c>
      <c r="B58" s="7" t="s">
        <v>231</v>
      </c>
    </row>
    <row r="59" spans="1:2">
      <c r="A59" s="8" t="s">
        <v>313</v>
      </c>
      <c r="B59" s="9" t="s">
        <v>231</v>
      </c>
    </row>
    <row r="60" spans="1:2">
      <c r="A60" s="6" t="s">
        <v>30</v>
      </c>
      <c r="B60" s="7" t="s">
        <v>231</v>
      </c>
    </row>
    <row r="61" spans="1:2">
      <c r="A61" s="8" t="s">
        <v>314</v>
      </c>
      <c r="B61" s="9" t="s">
        <v>231</v>
      </c>
    </row>
    <row r="62" spans="1:2">
      <c r="A62" s="6" t="s">
        <v>58</v>
      </c>
      <c r="B62" s="7" t="s">
        <v>231</v>
      </c>
    </row>
    <row r="63" spans="1:2">
      <c r="A63" s="8" t="s">
        <v>315</v>
      </c>
      <c r="B63" s="9" t="s">
        <v>231</v>
      </c>
    </row>
    <row r="64" spans="1:2">
      <c r="A64" s="6" t="s">
        <v>316</v>
      </c>
      <c r="B64" s="7" t="s">
        <v>231</v>
      </c>
    </row>
    <row r="65" spans="1:2">
      <c r="A65" s="8" t="s">
        <v>125</v>
      </c>
      <c r="B65" s="9" t="s">
        <v>231</v>
      </c>
    </row>
    <row r="66" spans="1:2">
      <c r="A66" s="6" t="s">
        <v>317</v>
      </c>
      <c r="B66" s="7" t="s">
        <v>231</v>
      </c>
    </row>
    <row r="67" spans="1:2">
      <c r="A67" s="8" t="s">
        <v>318</v>
      </c>
      <c r="B67" s="9" t="s">
        <v>231</v>
      </c>
    </row>
    <row r="68" spans="1:2">
      <c r="A68" s="6" t="s">
        <v>319</v>
      </c>
      <c r="B68" s="7" t="s">
        <v>231</v>
      </c>
    </row>
    <row r="69" spans="1:2">
      <c r="A69" s="8" t="s">
        <v>320</v>
      </c>
      <c r="B69" s="9" t="s">
        <v>231</v>
      </c>
    </row>
    <row r="70" spans="1:2">
      <c r="A70" s="6" t="s">
        <v>321</v>
      </c>
      <c r="B70" s="7" t="s">
        <v>231</v>
      </c>
    </row>
    <row r="71" spans="1:2">
      <c r="A71" s="8" t="s">
        <v>167</v>
      </c>
      <c r="B71" s="9" t="s">
        <v>231</v>
      </c>
    </row>
    <row r="72" spans="1:2">
      <c r="A72" s="6" t="s">
        <v>322</v>
      </c>
      <c r="B72" s="7" t="s">
        <v>231</v>
      </c>
    </row>
    <row r="73" spans="1:2">
      <c r="A73" s="8" t="s">
        <v>323</v>
      </c>
      <c r="B73" s="9" t="s">
        <v>231</v>
      </c>
    </row>
    <row r="74" spans="1:2">
      <c r="A74" s="8" t="s">
        <v>39</v>
      </c>
      <c r="B74" s="9" t="s">
        <v>231</v>
      </c>
    </row>
    <row r="75" spans="1:2">
      <c r="A75" s="117" t="s">
        <v>115</v>
      </c>
      <c r="B75" s="100" t="s">
        <v>231</v>
      </c>
    </row>
    <row r="76" spans="1:2">
      <c r="A76" s="117" t="s">
        <v>154</v>
      </c>
      <c r="B76" s="100" t="s">
        <v>231</v>
      </c>
    </row>
    <row r="77" spans="1:2">
      <c r="A77" s="117" t="s">
        <v>324</v>
      </c>
      <c r="B77" s="100" t="s">
        <v>231</v>
      </c>
    </row>
    <row r="78" spans="1:2">
      <c r="A78" s="117" t="s">
        <v>325</v>
      </c>
      <c r="B78" s="100" t="s">
        <v>231</v>
      </c>
    </row>
    <row r="79" spans="1:2">
      <c r="A79" s="117" t="s">
        <v>326</v>
      </c>
      <c r="B79" s="100" t="s">
        <v>231</v>
      </c>
    </row>
    <row r="80" spans="1:2">
      <c r="A80" s="117" t="s">
        <v>327</v>
      </c>
      <c r="B80" s="100" t="s">
        <v>231</v>
      </c>
    </row>
    <row r="81" spans="1:2">
      <c r="A81" s="117" t="s">
        <v>328</v>
      </c>
      <c r="B81" s="117" t="s">
        <v>231</v>
      </c>
    </row>
    <row r="82" spans="1:2">
      <c r="A82" s="117" t="s">
        <v>37</v>
      </c>
      <c r="B82" s="117" t="s">
        <v>231</v>
      </c>
    </row>
    <row r="83" spans="1:2">
      <c r="A83" s="117" t="s">
        <v>23</v>
      </c>
      <c r="B83" s="117" t="s">
        <v>231</v>
      </c>
    </row>
  </sheetData>
  <sortState xmlns:xlrd2="http://schemas.microsoft.com/office/spreadsheetml/2017/richdata2" ref="A7:B73">
    <sortCondition ref="A7:A73"/>
  </sortState>
  <dataValidations count="1">
    <dataValidation type="list" sqref="W6:W51 T6:T51 E26:E56 K6:K52 Q6:Q49 H6:H57 E6:E11 N6:N51 B6:B111" xr:uid="{00000000-0002-0000-0000-000000000000}">
      <formula1>"Ativo,Inativo"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FDDC7-21A6-4C23-B4CC-22E7911999E0}">
  <dimension ref="A1:H53"/>
  <sheetViews>
    <sheetView showGridLines="0" workbookViewId="0">
      <pane ySplit="3" topLeftCell="A4" activePane="bottomLeft" state="frozen"/>
      <selection pane="bottomLeft" activeCell="F12" sqref="F12"/>
    </sheetView>
  </sheetViews>
  <sheetFormatPr defaultRowHeight="14.45"/>
  <cols>
    <col min="1" max="1" width="30" customWidth="1"/>
    <col min="2" max="2" width="12" customWidth="1"/>
    <col min="3" max="4" width="18" customWidth="1"/>
    <col min="5" max="6" width="17" customWidth="1"/>
    <col min="7" max="7" width="13" customWidth="1"/>
    <col min="8" max="8" width="3" customWidth="1"/>
    <col min="9" max="9" width="20" customWidth="1"/>
    <col min="10" max="10" width="14" customWidth="1"/>
  </cols>
  <sheetData>
    <row r="1" spans="1:8" ht="28.15" customHeight="1">
      <c r="A1" s="10" t="s">
        <v>329</v>
      </c>
      <c r="B1" s="117"/>
      <c r="C1" s="117"/>
      <c r="D1" s="117"/>
      <c r="E1" s="117"/>
      <c r="F1" s="117"/>
      <c r="G1" s="117"/>
      <c r="H1" s="117"/>
    </row>
    <row r="2" spans="1:8">
      <c r="A2" s="2" t="s">
        <v>330</v>
      </c>
      <c r="B2" s="117"/>
      <c r="C2" s="117"/>
      <c r="D2" s="117"/>
      <c r="E2" s="117"/>
      <c r="F2" s="117"/>
      <c r="G2" s="117"/>
      <c r="H2" s="117"/>
    </row>
    <row r="4" spans="1:8" ht="19.899999999999999" customHeight="1">
      <c r="A4" s="11" t="s">
        <v>331</v>
      </c>
      <c r="B4" s="12"/>
      <c r="C4" s="12"/>
      <c r="D4" s="12"/>
      <c r="E4" s="12"/>
      <c r="F4" s="12"/>
      <c r="G4" s="117"/>
      <c r="H4" s="117"/>
    </row>
    <row r="5" spans="1:8">
      <c r="A5" s="130" t="s">
        <v>332</v>
      </c>
      <c r="B5" s="131"/>
      <c r="C5" s="130" t="s">
        <v>333</v>
      </c>
      <c r="D5" s="131"/>
      <c r="E5" s="130" t="s">
        <v>334</v>
      </c>
      <c r="F5" s="131"/>
      <c r="G5" s="130" t="s">
        <v>335</v>
      </c>
      <c r="H5" s="131"/>
    </row>
    <row r="6" spans="1:8" ht="25.9" customHeight="1">
      <c r="A6" s="132" t="e">
        <f>COUNTIFS('André Pullig'!$A$7:$A$396,"&lt;&gt;")+COUNTIFS('Betania Ribeiro'!$A$7:$A$400,"&lt;&gt;")+COUNTIFS('João Pullig'!$A$7:$A$385,"&lt;&gt;")+COUNTIFS('Kaio Dias'!$A$7:$A$374,"&lt;&gt;")+COUNTIFS('Pablo Ruan'!$A$7:$A$382,"&lt;&gt;")+COUNTIFS(#REF!,"&lt;&gt;")</f>
        <v>#REF!</v>
      </c>
      <c r="B6" s="129"/>
      <c r="C6" s="133" t="e">
        <f>SUMIFS('André Pullig'!$C$7:$C$396,'André Pullig'!$L$7:$L$396,"&lt;&gt;Aprovado",'André Pullig'!$L$7:$L$396,"&lt;&gt;Reprovado",'André Pullig'!$L$7:$L$396,"&lt;&gt;")+SUMIFS('Betania Ribeiro'!$C$7:$C$400,'Betania Ribeiro'!$L$7:$L$400,"&lt;&gt;Aprovado",'Betania Ribeiro'!$L$7:$L$400,"&lt;&gt;Reprovado",'Betania Ribeiro'!$L$7:$L$400,"&lt;&gt;")+SUMIFS('João Pullig'!$C$7:$C$385,'João Pullig'!$L$7:$L$385,"&lt;&gt;Aprovado",'João Pullig'!$L$7:$L$385,"&lt;&gt;Reprovado",'João Pullig'!$L$7:$L$385,"&lt;&gt;")+SUMIFS('Kaio Dias'!$C$7:$C$374,'Kaio Dias'!$L$7:$L$374,"&lt;&gt;Aprovado",'Kaio Dias'!$L$7:$L$374,"&lt;&gt;Reprovado",'Kaio Dias'!$L$7:$L$374,"&lt;&gt;")+SUMIFS('Pablo Ruan'!$C$7:$C$382,'Pablo Ruan'!$L$7:$L$382,"&lt;&gt;Aprovado",'Pablo Ruan'!$L$7:$L$382,"&lt;&gt;Reprovado",'Pablo Ruan'!$L$7:$L$382,"&lt;&gt;")+SUMIFS(#REF!,#REF!,"&lt;&gt;Aprovado",#REF!,"&lt;&gt;Reprovado",#REF!,"&lt;&gt;")</f>
        <v>#REF!</v>
      </c>
      <c r="D6" s="129"/>
      <c r="E6" s="133" t="e">
        <f>SUMIFS('André Pullig'!$C$7:$C$396,'André Pullig'!$L$7:$L$396,"Aprovado")+SUMIFS('Betania Ribeiro'!$C$7:$C$400,'Betania Ribeiro'!$L$7:$L$400,"Aprovado")+SUMIFS('João Pullig'!$C$7:$C$385,'João Pullig'!$L$7:$L$385,"Aprovado")+SUMIFS('Kaio Dias'!$C$7:$C$374,'Kaio Dias'!$L$7:$L$374,"Aprovado")+SUMIFS('Pablo Ruan'!$C$7:$C$382,'Pablo Ruan'!$L$7:$L$382,"Aprovado")+SUMIFS(#REF!,#REF!,"Aprovado")</f>
        <v>#REF!</v>
      </c>
      <c r="F6" s="129"/>
      <c r="G6" s="133" t="e">
        <f>SUMIFS('André Pullig'!$E$7:$E$396,'André Pullig'!$L$7:$L$396,"Aprovado")+SUMIFS('Betania Ribeiro'!$E$7:$E$400,'Betania Ribeiro'!$L$7:$L$400,"Aprovado")+SUMIFS('João Pullig'!$E$7:$E$385,'João Pullig'!$L$7:$L$385,"Aprovado")+SUMIFS('Kaio Dias'!$E$7:$E$374,'Kaio Dias'!$L$7:$L$374,"Aprovado")+SUMIFS('Pablo Ruan'!$E$7:$E$382,'Pablo Ruan'!$L$7:$L$382,"Aprovado")+SUMIFS(#REF!,#REF!,"Aprovado")</f>
        <v>#REF!</v>
      </c>
      <c r="H6" s="129"/>
    </row>
    <row r="8" spans="1:8" ht="19.899999999999999" customHeight="1">
      <c r="A8" s="11" t="s">
        <v>336</v>
      </c>
      <c r="B8" s="12"/>
      <c r="C8" s="12"/>
      <c r="D8" s="12"/>
      <c r="E8" s="12"/>
      <c r="F8" s="12"/>
      <c r="G8" s="12"/>
      <c r="H8" s="117"/>
    </row>
    <row r="9" spans="1:8" ht="24" customHeight="1">
      <c r="A9" s="13" t="s">
        <v>337</v>
      </c>
      <c r="B9" s="13" t="s">
        <v>338</v>
      </c>
      <c r="C9" s="13" t="s">
        <v>339</v>
      </c>
      <c r="D9" s="13" t="s">
        <v>333</v>
      </c>
      <c r="E9" s="13" t="s">
        <v>334</v>
      </c>
      <c r="F9" s="13" t="s">
        <v>335</v>
      </c>
      <c r="G9" s="13" t="s">
        <v>340</v>
      </c>
      <c r="H9" s="117"/>
    </row>
    <row r="10" spans="1:8">
      <c r="A10" s="14" t="s">
        <v>341</v>
      </c>
      <c r="B10" s="15">
        <f>COUNTIFS('André Pullig'!$A$7:$A$396,"&lt;&gt;")</f>
        <v>34</v>
      </c>
      <c r="C10" s="16">
        <f>COUNTIFS('André Pullig'!$A$7:$A$396,"&lt;&gt;",'André Pullig'!$C$7:$C$396,"")</f>
        <v>0</v>
      </c>
      <c r="D10" s="17">
        <f>SUMIFS('André Pullig'!$C$7:$C$396,'André Pullig'!$L$7:$L$396,"&lt;&gt;Aprovado",'André Pullig'!$L$7:$L$396,"&lt;&gt;Reprovado",'André Pullig'!$L$7:$L$396,"&lt;&gt;")</f>
        <v>45850000</v>
      </c>
      <c r="E10" s="17">
        <f>SUMIFS('André Pullig'!$C$7:$C$396,'André Pullig'!$L$7:$L$396,"Aprovado")</f>
        <v>0</v>
      </c>
      <c r="F10" s="17">
        <f>SUMIFS('André Pullig'!$E$7:$E$396,'André Pullig'!$L$7:$L$396,"Aprovado")</f>
        <v>0</v>
      </c>
      <c r="G10" s="18" t="e">
        <f t="shared" ref="G10:G15" si="0">IF(N($F$16)=0,"",F10/$F$16)</f>
        <v>#REF!</v>
      </c>
      <c r="H10" s="117"/>
    </row>
    <row r="11" spans="1:8">
      <c r="A11" s="14" t="s">
        <v>342</v>
      </c>
      <c r="B11" s="15">
        <f>COUNTIFS('Betania Ribeiro'!$A$7:$A$400,"&lt;&gt;")</f>
        <v>2</v>
      </c>
      <c r="C11" s="16">
        <f>COUNTIFS('Betania Ribeiro'!$A$7:$A$400,"&lt;&gt;",'Betania Ribeiro'!$C$7:$C$400,"")</f>
        <v>0</v>
      </c>
      <c r="D11" s="17">
        <f>SUMIFS('Betania Ribeiro'!$C$7:$C$400,'Betania Ribeiro'!$L$7:$L$400,"&lt;&gt;Aprovado",'Betania Ribeiro'!$L$7:$L$400,"&lt;&gt;Reprovado",'Betania Ribeiro'!$L$7:$L$400,"&lt;&gt;")</f>
        <v>18000000</v>
      </c>
      <c r="E11" s="17">
        <f>SUMIFS('Betania Ribeiro'!$C$7:$C$400,'Betania Ribeiro'!$L$7:$L$400,"Aprovado")</f>
        <v>0</v>
      </c>
      <c r="F11" s="17">
        <f>SUMIFS('Betania Ribeiro'!$E$7:$E$400,'Betania Ribeiro'!$L$7:$L$400,"Aprovado")</f>
        <v>0</v>
      </c>
      <c r="G11" s="18" t="e">
        <f t="shared" si="0"/>
        <v>#REF!</v>
      </c>
      <c r="H11" s="117"/>
    </row>
    <row r="12" spans="1:8">
      <c r="A12" s="14" t="s">
        <v>343</v>
      </c>
      <c r="B12" s="15">
        <f>COUNTIFS('João Pullig'!$A$7:$A$385,"&lt;&gt;")</f>
        <v>31</v>
      </c>
      <c r="C12" s="16">
        <f>COUNTIFS('João Pullig'!$A$7:$A$385,"&lt;&gt;",'João Pullig'!$C$7:$C$385,"")</f>
        <v>0</v>
      </c>
      <c r="D12" s="17">
        <f>SUMIFS('João Pullig'!$C$7:$C$385,'João Pullig'!$L$7:$L$385,"&lt;&gt;Aprovado",'João Pullig'!$L$7:$L$385,"&lt;&gt;Reprovado",'João Pullig'!$L$7:$L$385,"&lt;&gt;")</f>
        <v>180100000</v>
      </c>
      <c r="E12" s="17">
        <f>SUMIFS('João Pullig'!$C$7:$C$385,'João Pullig'!$L$7:$L$385,"Aprovado")</f>
        <v>2000000</v>
      </c>
      <c r="F12" s="17">
        <f>SUMIFS('João Pullig'!$E$7:$E$385,'João Pullig'!$L$7:$L$385,"Aprovado")</f>
        <v>65000</v>
      </c>
      <c r="G12" s="18" t="e">
        <f t="shared" si="0"/>
        <v>#REF!</v>
      </c>
      <c r="H12" s="117"/>
    </row>
    <row r="13" spans="1:8">
      <c r="A13" s="14" t="s">
        <v>240</v>
      </c>
      <c r="B13" s="15">
        <f>COUNTIFS('Kaio Dias'!$A$7:$A$374,"&lt;&gt;")</f>
        <v>33</v>
      </c>
      <c r="C13" s="16">
        <f>COUNTIFS('Kaio Dias'!$A$7:$A$374,"&lt;&gt;",'Kaio Dias'!$C$7:$C$374,"")</f>
        <v>0</v>
      </c>
      <c r="D13" s="17">
        <f>SUMIFS('Kaio Dias'!$C$7:$C$374,'Kaio Dias'!$L$7:$L$374,"&lt;&gt;Aprovado",'Kaio Dias'!$L$7:$L$374,"&lt;&gt;Reprovado",'Kaio Dias'!$L$7:$L$374,"&lt;&gt;")</f>
        <v>132006000</v>
      </c>
      <c r="E13" s="17">
        <f>SUMIFS('Kaio Dias'!$C$7:$C$374,'Kaio Dias'!$L$7:$L$374,"Aprovado")</f>
        <v>777242</v>
      </c>
      <c r="F13" s="17">
        <f>SUMIFS('Kaio Dias'!$E$7:$E$374,'Kaio Dias'!$L$7:$L$374,"Aprovado")</f>
        <v>19431.05</v>
      </c>
      <c r="G13" s="18" t="e">
        <f t="shared" si="0"/>
        <v>#REF!</v>
      </c>
      <c r="H13" s="117"/>
    </row>
    <row r="14" spans="1:8">
      <c r="A14" s="14" t="s">
        <v>344</v>
      </c>
      <c r="B14" s="15">
        <f>COUNTIFS('Pablo Ruan'!$A$7:$A$382,"&lt;&gt;")</f>
        <v>35</v>
      </c>
      <c r="C14" s="16">
        <f>COUNTIFS('Pablo Ruan'!$A$7:$A$382,"&lt;&gt;",'Pablo Ruan'!$C$7:$C$382,"")</f>
        <v>0</v>
      </c>
      <c r="D14" s="17">
        <f>SUMIFS('Pablo Ruan'!$C$7:$C$382,'Pablo Ruan'!$L$7:$L$382,"&lt;&gt;Aprovado",'Pablo Ruan'!$L$7:$L$382,"&lt;&gt;Reprovado",'Pablo Ruan'!$L$7:$L$382,"&lt;&gt;")</f>
        <v>34437000</v>
      </c>
      <c r="E14" s="17">
        <f>SUMIFS('Pablo Ruan'!$C$7:$C$382,'Pablo Ruan'!$L$7:$L$382,"Aprovado")</f>
        <v>3800000</v>
      </c>
      <c r="F14" s="17">
        <f>SUMIFS('Pablo Ruan'!$E$7:$E$382,'Pablo Ruan'!$L$7:$L$382,"Aprovado")</f>
        <v>63500</v>
      </c>
      <c r="G14" s="18" t="e">
        <f t="shared" si="0"/>
        <v>#REF!</v>
      </c>
      <c r="H14" s="117"/>
    </row>
    <row r="15" spans="1:8">
      <c r="A15" s="14" t="s">
        <v>345</v>
      </c>
      <c r="B15" s="15" t="e">
        <f>COUNTIFS(#REF!,"&lt;&gt;")</f>
        <v>#REF!</v>
      </c>
      <c r="C15" s="16" t="e">
        <f>COUNTIFS(#REF!,"&lt;&gt;",#REF!,"")</f>
        <v>#REF!</v>
      </c>
      <c r="D15" s="17" t="e">
        <f>SUMIFS(#REF!,#REF!,"&lt;&gt;Aprovado",#REF!,"&lt;&gt;Reprovado",#REF!,"&lt;&gt;")</f>
        <v>#REF!</v>
      </c>
      <c r="E15" s="17" t="e">
        <f>SUMIFS(#REF!,#REF!,"Aprovado")</f>
        <v>#REF!</v>
      </c>
      <c r="F15" s="17" t="e">
        <f>SUMIFS(#REF!,#REF!,"Aprovado")</f>
        <v>#REF!</v>
      </c>
      <c r="G15" s="18" t="e">
        <f t="shared" si="0"/>
        <v>#REF!</v>
      </c>
      <c r="H15" s="117"/>
    </row>
    <row r="16" spans="1:8">
      <c r="A16" s="19" t="s">
        <v>346</v>
      </c>
      <c r="B16" s="20" t="e">
        <f t="shared" ref="B16:G16" si="1">SUM(B10:B15)</f>
        <v>#REF!</v>
      </c>
      <c r="C16" s="20" t="e">
        <f t="shared" si="1"/>
        <v>#REF!</v>
      </c>
      <c r="D16" s="21" t="e">
        <f t="shared" si="1"/>
        <v>#REF!</v>
      </c>
      <c r="E16" s="21" t="e">
        <f t="shared" si="1"/>
        <v>#REF!</v>
      </c>
      <c r="F16" s="21" t="e">
        <f t="shared" si="1"/>
        <v>#REF!</v>
      </c>
      <c r="G16" s="22" t="e">
        <f t="shared" si="1"/>
        <v>#REF!</v>
      </c>
      <c r="H16" s="117"/>
    </row>
    <row r="18" spans="1:6" ht="19.899999999999999" customHeight="1">
      <c r="A18" s="11" t="s">
        <v>347</v>
      </c>
      <c r="B18" s="12"/>
      <c r="C18" s="12"/>
      <c r="D18" s="12"/>
      <c r="E18" s="12"/>
      <c r="F18" s="12"/>
    </row>
    <row r="19" spans="1:6" ht="24" customHeight="1">
      <c r="A19" s="13" t="s">
        <v>348</v>
      </c>
      <c r="B19" s="13" t="s">
        <v>338</v>
      </c>
      <c r="C19" s="13" t="s">
        <v>349</v>
      </c>
      <c r="D19" s="13" t="s">
        <v>350</v>
      </c>
      <c r="E19" s="13"/>
      <c r="F19" s="13"/>
    </row>
    <row r="20" spans="1:6">
      <c r="A20" s="14" t="s">
        <v>32</v>
      </c>
      <c r="B20" s="15" t="e">
        <f>COUNTIFS('André Pullig'!$L$7:$L$396,"Cadastro")+COUNTIFS('Betania Ribeiro'!$L$7:$L$400,"Cadastro")+COUNTIFS('João Pullig'!$L$7:$L$385,"Cadastro")+COUNTIFS('Kaio Dias'!$L$7:$L$374,"Cadastro")+COUNTIFS('Pablo Ruan'!$L$7:$L$382,"Cadastro")+COUNTIFS(#REF!,"Cadastro")</f>
        <v>#REF!</v>
      </c>
      <c r="C20" s="17" t="e">
        <f>SUMIFS('André Pullig'!$C$7:$C$396,'André Pullig'!$L$7:$L$396,"Cadastro")+SUMIFS('Betania Ribeiro'!$C$7:$C$400,'Betania Ribeiro'!$L$7:$L$400,"Cadastro")+SUMIFS('João Pullig'!$C$7:$C$385,'João Pullig'!$L$7:$L$385,"Cadastro")+SUMIFS('Kaio Dias'!$C$7:$C$374,'Kaio Dias'!$L$7:$L$374,"Cadastro")+SUMIFS('Pablo Ruan'!$C$7:$C$382,'Pablo Ruan'!$L$7:$L$382,"Cadastro")+SUMIFS(#REF!,#REF!,"Cadastro")</f>
        <v>#REF!</v>
      </c>
      <c r="D20" s="18" t="e">
        <f t="shared" ref="D20:D26" si="2">IF(SUM($C$20:$C$26)=0,"",C20/SUM($C$20:$C$26))</f>
        <v>#REF!</v>
      </c>
      <c r="E20" s="117"/>
      <c r="F20" s="117"/>
    </row>
    <row r="21" spans="1:6">
      <c r="A21" s="14" t="s">
        <v>21</v>
      </c>
      <c r="B21" s="15" t="e">
        <f>COUNTIFS('André Pullig'!$L$7:$L$396,"Análise de Crédito")+COUNTIFS('Betania Ribeiro'!$L$7:$L$400,"Análise de Crédito")+COUNTIFS('João Pullig'!$L$7:$L$385,"Análise de Crédito")+COUNTIFS('Kaio Dias'!$L$7:$L$374,"Análise de Crédito")+COUNTIFS('Pablo Ruan'!$L$7:$L$382,"Análise de Crédito")+COUNTIFS(#REF!,"Análise de Crédito")</f>
        <v>#REF!</v>
      </c>
      <c r="C21" s="17" t="e">
        <f>SUMIFS('André Pullig'!$C$7:$C$396,'André Pullig'!$L$7:$L$396,"Análise de Crédito")+SUMIFS('Betania Ribeiro'!$C$7:$C$400,'Betania Ribeiro'!$L$7:$L$400,"Análise de Crédito")+SUMIFS('João Pullig'!$C$7:$C$385,'João Pullig'!$L$7:$L$385,"Análise de Crédito")+SUMIFS('Kaio Dias'!$C$7:$C$374,'Kaio Dias'!$L$7:$L$374,"Análise de Crédito")+SUMIFS('Pablo Ruan'!$C$7:$C$382,'Pablo Ruan'!$L$7:$L$382,"Análise de Crédito")+SUMIFS(#REF!,#REF!,"Análise de Crédito")</f>
        <v>#REF!</v>
      </c>
      <c r="D21" s="18" t="e">
        <f t="shared" si="2"/>
        <v>#REF!</v>
      </c>
      <c r="E21" s="117"/>
      <c r="F21" s="117"/>
    </row>
    <row r="22" spans="1:6">
      <c r="A22" s="14" t="s">
        <v>71</v>
      </c>
      <c r="B22" s="15" t="e">
        <f>COUNTIFS('André Pullig'!$L$7:$L$396,"Comitê")+COUNTIFS('Betania Ribeiro'!$L$7:$L$400,"Comitê")+COUNTIFS('João Pullig'!$L$7:$L$385,"Comitê")+COUNTIFS('Kaio Dias'!$L$7:$L$374,"Comitê")+COUNTIFS('Pablo Ruan'!$L$7:$L$382,"Comitê")+COUNTIFS(#REF!,"Comitê")</f>
        <v>#REF!</v>
      </c>
      <c r="C22" s="17" t="e">
        <f>SUMIFS('André Pullig'!$C$7:$C$396,'André Pullig'!$L$7:$L$396,"Comitê")+SUMIFS('Betania Ribeiro'!$C$7:$C$400,'Betania Ribeiro'!$L$7:$L$400,"Comitê")+SUMIFS('João Pullig'!$C$7:$C$385,'João Pullig'!$L$7:$L$385,"Comitê")+SUMIFS('Kaio Dias'!$C$7:$C$374,'Kaio Dias'!$L$7:$L$374,"Comitê")+SUMIFS('Pablo Ruan'!$C$7:$C$382,'Pablo Ruan'!$L$7:$L$382,"Comitê")+SUMIFS(#REF!,#REF!,"Comitê")</f>
        <v>#REF!</v>
      </c>
      <c r="D22" s="18" t="e">
        <f t="shared" si="2"/>
        <v>#REF!</v>
      </c>
      <c r="E22" s="117"/>
      <c r="F22" s="117"/>
    </row>
    <row r="23" spans="1:6">
      <c r="A23" s="14" t="s">
        <v>90</v>
      </c>
      <c r="B23" s="15" t="e">
        <f>COUNTIFS('André Pullig'!$L$7:$L$396,"Aprovação")+COUNTIFS('Betania Ribeiro'!$L$7:$L$400,"Aprovação")+COUNTIFS('João Pullig'!$L$7:$L$385,"Aprovação")+COUNTIFS('Kaio Dias'!$L$7:$L$374,"Aprovação")+COUNTIFS('Pablo Ruan'!$L$7:$L$382,"Aprovação")+COUNTIFS(#REF!,"Aprovação")</f>
        <v>#REF!</v>
      </c>
      <c r="C23" s="17" t="e">
        <f>SUMIFS('André Pullig'!$C$7:$C$396,'André Pullig'!$L$7:$L$396,"Aprovação")+SUMIFS('Betania Ribeiro'!$C$7:$C$400,'Betania Ribeiro'!$L$7:$L$400,"Aprovação")+SUMIFS('João Pullig'!$C$7:$C$385,'João Pullig'!$L$7:$L$385,"Aprovação")+SUMIFS('Kaio Dias'!$C$7:$C$374,'Kaio Dias'!$L$7:$L$374,"Aprovação")+SUMIFS('Pablo Ruan'!$C$7:$C$382,'Pablo Ruan'!$L$7:$L$382,"Aprovação")+SUMIFS(#REF!,#REF!,"Aprovação")</f>
        <v>#REF!</v>
      </c>
      <c r="D23" s="18" t="e">
        <f t="shared" si="2"/>
        <v>#REF!</v>
      </c>
      <c r="E23" s="117"/>
      <c r="F23" s="117"/>
    </row>
    <row r="24" spans="1:6">
      <c r="A24" s="14" t="s">
        <v>147</v>
      </c>
      <c r="B24" s="15" t="e">
        <f>COUNTIFS('André Pullig'!$L$7:$L$396,"Assinatura de Contrato")+COUNTIFS('Betania Ribeiro'!$L$7:$L$400,"Assinatura de Contrato")+COUNTIFS('João Pullig'!$L$7:$L$385,"Assinatura de Contrato")+COUNTIFS('Kaio Dias'!$L$7:$L$374,"Assinatura de Contrato")+COUNTIFS('Pablo Ruan'!$L$7:$L$382,"Assinatura de Contrato")+COUNTIFS(#REF!,"Assinatura de Contrato")</f>
        <v>#REF!</v>
      </c>
      <c r="C24" s="17" t="e">
        <f>SUMIFS('André Pullig'!$C$7:$C$396,'André Pullig'!$L$7:$L$396,"Assinatura de Contrato")+SUMIFS('Betania Ribeiro'!$C$7:$C$400,'Betania Ribeiro'!$L$7:$L$400,"Assinatura de Contrato")+SUMIFS('João Pullig'!$C$7:$C$385,'João Pullig'!$L$7:$L$385,"Assinatura de Contrato")+SUMIFS('Kaio Dias'!$C$7:$C$374,'Kaio Dias'!$L$7:$L$374,"Assinatura de Contrato")+SUMIFS('Pablo Ruan'!$C$7:$C$382,'Pablo Ruan'!$L$7:$L$382,"Assinatura de Contrato")+SUMIFS(#REF!,#REF!,"Assinatura de Contrato")</f>
        <v>#REF!</v>
      </c>
      <c r="D24" s="18" t="e">
        <f t="shared" si="2"/>
        <v>#REF!</v>
      </c>
      <c r="E24" s="117"/>
      <c r="F24" s="117"/>
    </row>
    <row r="25" spans="1:6">
      <c r="A25" s="14" t="s">
        <v>36</v>
      </c>
      <c r="B25" s="15" t="e">
        <f>COUNTIFS('André Pullig'!$L$7:$L$396,"Aprovado")+COUNTIFS('Betania Ribeiro'!$L$7:$L$400,"Aprovado")+COUNTIFS('João Pullig'!$L$7:$L$385,"Aprovado")+COUNTIFS('Kaio Dias'!$L$7:$L$374,"Aprovado")+COUNTIFS('Pablo Ruan'!$L$7:$L$382,"Aprovado")+COUNTIFS(#REF!,"Aprovado")</f>
        <v>#REF!</v>
      </c>
      <c r="C25" s="17" t="e">
        <f>SUMIFS('André Pullig'!$C$7:$C$396,'André Pullig'!$L$7:$L$396,"Aprovado")+SUMIFS('Betania Ribeiro'!$C$7:$C$400,'Betania Ribeiro'!$L$7:$L$400,"Aprovado")+SUMIFS('João Pullig'!$C$7:$C$385,'João Pullig'!$L$7:$L$385,"Aprovado")+SUMIFS('Kaio Dias'!$C$7:$C$374,'Kaio Dias'!$L$7:$L$374,"Aprovado")+SUMIFS('Pablo Ruan'!$C$7:$C$382,'Pablo Ruan'!$L$7:$L$382,"Aprovado")+SUMIFS(#REF!,#REF!,"Aprovado")</f>
        <v>#REF!</v>
      </c>
      <c r="D25" s="18" t="e">
        <f t="shared" si="2"/>
        <v>#REF!</v>
      </c>
      <c r="E25" s="117"/>
      <c r="F25" s="117"/>
    </row>
    <row r="26" spans="1:6">
      <c r="A26" s="14" t="s">
        <v>174</v>
      </c>
      <c r="B26" s="15" t="e">
        <f>COUNTIFS('André Pullig'!$L$7:$L$396,"Reprovado")+COUNTIFS('Betania Ribeiro'!$L$7:$L$400,"Reprovado")+COUNTIFS('João Pullig'!$L$7:$L$385,"Reprovado")+COUNTIFS('Kaio Dias'!$L$7:$L$374,"Reprovado")+COUNTIFS('Pablo Ruan'!$L$7:$L$382,"Reprovado")+COUNTIFS(#REF!,"Reprovado")</f>
        <v>#REF!</v>
      </c>
      <c r="C26" s="17" t="e">
        <f>SUMIFS('André Pullig'!$C$7:$C$396,'André Pullig'!$L$7:$L$396,"Reprovado")+SUMIFS('Betania Ribeiro'!$C$7:$C$400,'Betania Ribeiro'!$L$7:$L$400,"Reprovado")+SUMIFS('João Pullig'!$C$7:$C$385,'João Pullig'!$L$7:$L$385,"Reprovado")+SUMIFS('Kaio Dias'!$C$7:$C$374,'Kaio Dias'!$L$7:$L$374,"Reprovado")+SUMIFS('Pablo Ruan'!$C$7:$C$382,'Pablo Ruan'!$L$7:$L$382,"Reprovado")+SUMIFS(#REF!,#REF!,"Reprovado")</f>
        <v>#REF!</v>
      </c>
      <c r="D26" s="18" t="e">
        <f t="shared" si="2"/>
        <v>#REF!</v>
      </c>
      <c r="E26" s="117"/>
      <c r="F26" s="117"/>
    </row>
    <row r="28" spans="1:6" ht="19.899999999999999" customHeight="1">
      <c r="A28" s="11" t="s">
        <v>351</v>
      </c>
      <c r="B28" s="12"/>
      <c r="C28" s="12"/>
      <c r="D28" s="12"/>
      <c r="E28" s="12"/>
      <c r="F28" s="12"/>
    </row>
    <row r="29" spans="1:6" ht="24" customHeight="1">
      <c r="A29" s="13" t="s">
        <v>352</v>
      </c>
      <c r="B29" s="13" t="s">
        <v>338</v>
      </c>
      <c r="C29" s="13" t="s">
        <v>349</v>
      </c>
      <c r="D29" s="13" t="s">
        <v>335</v>
      </c>
      <c r="E29" s="13"/>
      <c r="F29" s="13"/>
    </row>
    <row r="30" spans="1:6">
      <c r="A30" s="14" t="s">
        <v>29</v>
      </c>
      <c r="B30" s="15" t="e">
        <f>COUNTIFS('André Pullig'!$B$7:$B$396,"Capital de Giro")+COUNTIFS('Betania Ribeiro'!$B$7:$B$400,"Capital de Giro")+COUNTIFS('João Pullig'!$B$7:$B$385,"Capital de Giro")+COUNTIFS('Kaio Dias'!$B$7:$B$374,"Capital de Giro")+COUNTIFS('Pablo Ruan'!$B$7:$B$382,"Capital de Giro")+COUNTIFS(#REF!,"Capital de Giro")</f>
        <v>#REF!</v>
      </c>
      <c r="C30" s="17" t="e">
        <f>SUMIFS('André Pullig'!$C$7:$C$396,'André Pullig'!$B$7:$B$396,"Capital de Giro")+SUMIFS('Betania Ribeiro'!$C$7:$C$400,'Betania Ribeiro'!$B$7:$B$400,"Capital de Giro")+SUMIFS('João Pullig'!$C$7:$C$385,'João Pullig'!$B$7:$B$385,"Capital de Giro")+SUMIFS('Kaio Dias'!$C$7:$C$374,'Kaio Dias'!$B$7:$B$374,"Capital de Giro")+SUMIFS('Pablo Ruan'!$C$7:$C$382,'Pablo Ruan'!$B$7:$B$382,"Capital de Giro")+SUMIFS(#REF!,#REF!,"Capital de Giro")</f>
        <v>#REF!</v>
      </c>
      <c r="D30" s="17" t="e">
        <f>SUMIFS('André Pullig'!$E$7:$E$396,'André Pullig'!$B$7:$B$396,"Capital de Giro",'André Pullig'!$L$7:$L$396,"Aprovado")+SUMIFS('Betania Ribeiro'!$E$7:$E$400,'Betania Ribeiro'!$B$7:$B$400,"Capital de Giro",'Betania Ribeiro'!$L$7:$L$400,"Aprovado")+SUMIFS('João Pullig'!$E$7:$E$385,'João Pullig'!$B$7:$B$385,"Capital de Giro",'João Pullig'!$L$7:$L$385,"Aprovado")+SUMIFS('Kaio Dias'!$E$7:$E$374,'Kaio Dias'!$B$7:$B$374,"Capital de Giro",'Kaio Dias'!$L$7:$L$374,"Aprovado")+SUMIFS('Pablo Ruan'!$E$7:$E$382,'Pablo Ruan'!$B$7:$B$382,"Capital de Giro",'Pablo Ruan'!$L$7:$L$382,"Aprovado")+SUMIFS(#REF!,#REF!,"Capital de Giro",#REF!,"Aprovado")</f>
        <v>#REF!</v>
      </c>
      <c r="E30" s="117"/>
      <c r="F30" s="117"/>
    </row>
    <row r="31" spans="1:6">
      <c r="A31" s="14" t="s">
        <v>353</v>
      </c>
      <c r="B31" s="15" t="e">
        <f>COUNTIFS('André Pullig'!$B$7:$B$396,"Pró-soluto")+COUNTIFS('Betania Ribeiro'!$B$7:$B$400,"Pró-soluto")+COUNTIFS('João Pullig'!$B$7:$B$385,"Pró-soluto")+COUNTIFS('Kaio Dias'!$B$7:$B$374,"Pró-soluto")+COUNTIFS('Pablo Ruan'!$B$7:$B$382,"Pró-soluto")+COUNTIFS(#REF!,"Pró-soluto")</f>
        <v>#REF!</v>
      </c>
      <c r="C31" s="17" t="e">
        <f>SUMIFS('André Pullig'!$C$7:$C$396,'André Pullig'!$B$7:$B$396,"Pró-soluto")+SUMIFS('Betania Ribeiro'!$C$7:$C$400,'Betania Ribeiro'!$B$7:$B$400,"Pró-soluto")+SUMIFS('João Pullig'!$C$7:$C$385,'João Pullig'!$B$7:$B$385,"Pró-soluto")+SUMIFS('Kaio Dias'!$C$7:$C$374,'Kaio Dias'!$B$7:$B$374,"Pró-soluto")+SUMIFS('Pablo Ruan'!$C$7:$C$382,'Pablo Ruan'!$B$7:$B$382,"Pró-soluto")+SUMIFS(#REF!,#REF!,"Pró-soluto")</f>
        <v>#REF!</v>
      </c>
      <c r="D31" s="17" t="e">
        <f>SUMIFS('André Pullig'!$E$7:$E$396,'André Pullig'!$B$7:$B$396,"Pró-soluto",'André Pullig'!$L$7:$L$396,"Aprovado")+SUMIFS('Betania Ribeiro'!$E$7:$E$400,'Betania Ribeiro'!$B$7:$B$400,"Pró-soluto",'Betania Ribeiro'!$L$7:$L$400,"Aprovado")+SUMIFS('João Pullig'!$E$7:$E$385,'João Pullig'!$B$7:$B$385,"Pró-soluto",'João Pullig'!$L$7:$L$385,"Aprovado")+SUMIFS('Kaio Dias'!$E$7:$E$374,'Kaio Dias'!$B$7:$B$374,"Pró-soluto",'Kaio Dias'!$L$7:$L$374,"Aprovado")+SUMIFS('Pablo Ruan'!$E$7:$E$382,'Pablo Ruan'!$B$7:$B$382,"Pró-soluto",'Pablo Ruan'!$L$7:$L$382,"Aprovado")+SUMIFS(#REF!,#REF!,"Pró-soluto",#REF!,"Aprovado")</f>
        <v>#REF!</v>
      </c>
      <c r="E31" s="117"/>
      <c r="F31" s="117"/>
    </row>
    <row r="32" spans="1:6">
      <c r="A32" s="14" t="s">
        <v>354</v>
      </c>
      <c r="B32" s="15" t="e">
        <f>COUNTIFS('André Pullig'!$B$7:$B$396,"Antecipação de Recebíveis")+COUNTIFS('Betania Ribeiro'!$B$7:$B$400,"Antecipação de Recebíveis")+COUNTIFS('João Pullig'!$B$7:$B$385,"Antecipação de Recebíveis")+COUNTIFS('Kaio Dias'!$B$7:$B$374,"Antecipação de Recebíveis")+COUNTIFS('Pablo Ruan'!$B$7:$B$382,"Antecipação de Recebíveis")+COUNTIFS(#REF!,"Antecipação de Recebíveis")</f>
        <v>#REF!</v>
      </c>
      <c r="C32" s="17" t="e">
        <f>SUMIFS('André Pullig'!$C$7:$C$396,'André Pullig'!$B$7:$B$396,"Antecipação de Recebíveis")+SUMIFS('Betania Ribeiro'!$C$7:$C$400,'Betania Ribeiro'!$B$7:$B$400,"Antecipação de Recebíveis")+SUMIFS('João Pullig'!$C$7:$C$385,'João Pullig'!$B$7:$B$385,"Antecipação de Recebíveis")+SUMIFS('Kaio Dias'!$C$7:$C$374,'Kaio Dias'!$B$7:$B$374,"Antecipação de Recebíveis")+SUMIFS('Pablo Ruan'!$C$7:$C$382,'Pablo Ruan'!$B$7:$B$382,"Antecipação de Recebíveis")+SUMIFS(#REF!,#REF!,"Antecipação de Recebíveis")</f>
        <v>#REF!</v>
      </c>
      <c r="D32" s="17" t="e">
        <f>SUMIFS('André Pullig'!$E$7:$E$396,'André Pullig'!$B$7:$B$396,"Antecipação de Recebíveis",'André Pullig'!$L$7:$L$396,"Aprovado")+SUMIFS('Betania Ribeiro'!$E$7:$E$400,'Betania Ribeiro'!$B$7:$B$400,"Antecipação de Recebíveis",'Betania Ribeiro'!$L$7:$L$400,"Aprovado")+SUMIFS('João Pullig'!$E$7:$E$385,'João Pullig'!$B$7:$B$385,"Antecipação de Recebíveis",'João Pullig'!$L$7:$L$385,"Aprovado")+SUMIFS('Kaio Dias'!$E$7:$E$374,'Kaio Dias'!$B$7:$B$374,"Antecipação de Recebíveis",'Kaio Dias'!$L$7:$L$374,"Aprovado")+SUMIFS('Pablo Ruan'!$E$7:$E$382,'Pablo Ruan'!$B$7:$B$382,"Antecipação de Recebíveis",'Pablo Ruan'!$L$7:$L$382,"Aprovado")+SUMIFS(#REF!,#REF!,"Antecipação de Recebíveis",#REF!,"Aprovado")</f>
        <v>#REF!</v>
      </c>
      <c r="E32" s="117"/>
      <c r="F32" s="117"/>
    </row>
    <row r="33" spans="1:8">
      <c r="A33" s="14" t="s">
        <v>355</v>
      </c>
      <c r="B33" s="15" t="e">
        <f>COUNTIFS('André Pullig'!$B$7:$B$396,"Crédito Rural")+COUNTIFS('Betania Ribeiro'!$B$7:$B$400,"Crédito Rural")+COUNTIFS('João Pullig'!$B$7:$B$385,"Crédito Rural")+COUNTIFS('Kaio Dias'!$B$7:$B$374,"Crédito Rural")+COUNTIFS('Pablo Ruan'!$B$7:$B$382,"Crédito Rural")+COUNTIFS(#REF!,"Crédito Rural")</f>
        <v>#REF!</v>
      </c>
      <c r="C33" s="17" t="e">
        <f>SUMIFS('André Pullig'!$C$7:$C$396,'André Pullig'!$B$7:$B$396,"Crédito Rural")+SUMIFS('Betania Ribeiro'!$C$7:$C$400,'Betania Ribeiro'!$B$7:$B$400,"Crédito Rural")+SUMIFS('João Pullig'!$C$7:$C$385,'João Pullig'!$B$7:$B$385,"Crédito Rural")+SUMIFS('Kaio Dias'!$C$7:$C$374,'Kaio Dias'!$B$7:$B$374,"Crédito Rural")+SUMIFS('Pablo Ruan'!$C$7:$C$382,'Pablo Ruan'!$B$7:$B$382,"Crédito Rural")+SUMIFS(#REF!,#REF!,"Crédito Rural")</f>
        <v>#REF!</v>
      </c>
      <c r="D33" s="17" t="e">
        <f>SUMIFS('André Pullig'!$E$7:$E$396,'André Pullig'!$B$7:$B$396,"Crédito Rural",'André Pullig'!$L$7:$L$396,"Aprovado")+SUMIFS('Betania Ribeiro'!$E$7:$E$400,'Betania Ribeiro'!$B$7:$B$400,"Crédito Rural",'Betania Ribeiro'!$L$7:$L$400,"Aprovado")+SUMIFS('João Pullig'!$E$7:$E$385,'João Pullig'!$B$7:$B$385,"Crédito Rural",'João Pullig'!$L$7:$L$385,"Aprovado")+SUMIFS('Kaio Dias'!$E$7:$E$374,'Kaio Dias'!$B$7:$B$374,"Crédito Rural",'Kaio Dias'!$L$7:$L$374,"Aprovado")+SUMIFS('Pablo Ruan'!$E$7:$E$382,'Pablo Ruan'!$B$7:$B$382,"Crédito Rural",'Pablo Ruan'!$L$7:$L$382,"Aprovado")+SUMIFS(#REF!,#REF!,"Crédito Rural",#REF!,"Aprovado")</f>
        <v>#REF!</v>
      </c>
      <c r="E33" s="117"/>
      <c r="F33" s="117"/>
      <c r="G33" s="117"/>
      <c r="H33" s="117"/>
    </row>
    <row r="34" spans="1:8">
      <c r="A34" s="14" t="s">
        <v>356</v>
      </c>
      <c r="B34" s="15" t="e">
        <f>COUNTIFS('André Pullig'!$B$7:$B$396,"Consórcio")+COUNTIFS('Betania Ribeiro'!$B$7:$B$400,"Consórcio")+COUNTIFS('João Pullig'!$B$7:$B$385,"Consórcio")+COUNTIFS('Kaio Dias'!$B$7:$B$374,"Consórcio")+COUNTIFS('Pablo Ruan'!$B$7:$B$382,"Consórcio")+COUNTIFS(#REF!,"Consórcio")</f>
        <v>#REF!</v>
      </c>
      <c r="C34" s="17" t="e">
        <f>SUMIFS('André Pullig'!$C$7:$C$396,'André Pullig'!$B$7:$B$396,"Consórcio")+SUMIFS('Betania Ribeiro'!$C$7:$C$400,'Betania Ribeiro'!$B$7:$B$400,"Consórcio")+SUMIFS('João Pullig'!$C$7:$C$385,'João Pullig'!$B$7:$B$385,"Consórcio")+SUMIFS('Kaio Dias'!$C$7:$C$374,'Kaio Dias'!$B$7:$B$374,"Consórcio")+SUMIFS('Pablo Ruan'!$C$7:$C$382,'Pablo Ruan'!$B$7:$B$382,"Consórcio")+SUMIFS(#REF!,#REF!,"Consórcio")</f>
        <v>#REF!</v>
      </c>
      <c r="D34" s="17" t="e">
        <f>SUMIFS('André Pullig'!$E$7:$E$396,'André Pullig'!$B$7:$B$396,"Consórcio",'André Pullig'!$L$7:$L$396,"Aprovado")+SUMIFS('Betania Ribeiro'!$E$7:$E$400,'Betania Ribeiro'!$B$7:$B$400,"Consórcio",'Betania Ribeiro'!$L$7:$L$400,"Aprovado")+SUMIFS('João Pullig'!$E$7:$E$385,'João Pullig'!$B$7:$B$385,"Consórcio",'João Pullig'!$L$7:$L$385,"Aprovado")+SUMIFS('Kaio Dias'!$E$7:$E$374,'Kaio Dias'!$B$7:$B$374,"Consórcio",'Kaio Dias'!$L$7:$L$374,"Aprovado")+SUMIFS('Pablo Ruan'!$E$7:$E$382,'Pablo Ruan'!$B$7:$B$382,"Consórcio",'Pablo Ruan'!$L$7:$L$382,"Aprovado")+SUMIFS(#REF!,#REF!,"Consórcio",#REF!,"Aprovado")</f>
        <v>#REF!</v>
      </c>
      <c r="E34" s="117"/>
      <c r="F34" s="117"/>
      <c r="G34" s="117"/>
      <c r="H34" s="117"/>
    </row>
    <row r="35" spans="1:8">
      <c r="A35" s="14" t="s">
        <v>357</v>
      </c>
      <c r="B35" s="15" t="e">
        <f>COUNTIFS('André Pullig'!$B$7:$B$396,"Venda de Ativos")+COUNTIFS('Betania Ribeiro'!$B$7:$B$400,"Venda de Ativos")+COUNTIFS('João Pullig'!$B$7:$B$385,"Venda de Ativos")+COUNTIFS('Kaio Dias'!$B$7:$B$374,"Venda de Ativos")+COUNTIFS('Pablo Ruan'!$B$7:$B$382,"Venda de Ativos")+COUNTIFS(#REF!,"Venda de Ativos")</f>
        <v>#REF!</v>
      </c>
      <c r="C35" s="17" t="e">
        <f>SUMIFS('André Pullig'!$C$7:$C$396,'André Pullig'!$B$7:$B$396,"Venda de Ativos")+SUMIFS('Betania Ribeiro'!$C$7:$C$400,'Betania Ribeiro'!$B$7:$B$400,"Venda de Ativos")+SUMIFS('João Pullig'!$C$7:$C$385,'João Pullig'!$B$7:$B$385,"Venda de Ativos")+SUMIFS('Kaio Dias'!$C$7:$C$374,'Kaio Dias'!$B$7:$B$374,"Venda de Ativos")+SUMIFS('Pablo Ruan'!$C$7:$C$382,'Pablo Ruan'!$B$7:$B$382,"Venda de Ativos")+SUMIFS(#REF!,#REF!,"Venda de Ativos")</f>
        <v>#REF!</v>
      </c>
      <c r="D35" s="17" t="e">
        <f>SUMIFS('André Pullig'!$E$7:$E$396,'André Pullig'!$B$7:$B$396,"Venda de Ativos",'André Pullig'!$L$7:$L$396,"Aprovado")+SUMIFS('Betania Ribeiro'!$E$7:$E$400,'Betania Ribeiro'!$B$7:$B$400,"Venda de Ativos",'Betania Ribeiro'!$L$7:$L$400,"Aprovado")+SUMIFS('João Pullig'!$E$7:$E$385,'João Pullig'!$B$7:$B$385,"Venda de Ativos",'João Pullig'!$L$7:$L$385,"Aprovado")+SUMIFS('Kaio Dias'!$E$7:$E$374,'Kaio Dias'!$B$7:$B$374,"Venda de Ativos",'Kaio Dias'!$L$7:$L$374,"Aprovado")+SUMIFS('Pablo Ruan'!$E$7:$E$382,'Pablo Ruan'!$B$7:$B$382,"Venda de Ativos",'Pablo Ruan'!$L$7:$L$382,"Aprovado")+SUMIFS(#REF!,#REF!,"Venda de Ativos",#REF!,"Aprovado")</f>
        <v>#REF!</v>
      </c>
      <c r="E35" s="117"/>
      <c r="F35" s="117"/>
      <c r="G35" s="117"/>
      <c r="H35" s="117"/>
    </row>
    <row r="36" spans="1:8">
      <c r="A36" s="14" t="s">
        <v>358</v>
      </c>
      <c r="B36" s="15" t="e">
        <f>COUNTIFS('André Pullig'!$B$7:$B$396,"FGI")+COUNTIFS('Betania Ribeiro'!$B$7:$B$400,"FGI")+COUNTIFS('João Pullig'!$B$7:$B$385,"FGI")+COUNTIFS('Kaio Dias'!$B$7:$B$374,"FGI")+COUNTIFS('Pablo Ruan'!$B$7:$B$382,"FGI")+COUNTIFS(#REF!,"FGI")</f>
        <v>#REF!</v>
      </c>
      <c r="C36" s="17" t="e">
        <f>SUMIFS('André Pullig'!$C$7:$C$396,'André Pullig'!$B$7:$B$396,"FGI")+SUMIFS('Betania Ribeiro'!$C$7:$C$400,'Betania Ribeiro'!$B$7:$B$400,"FGI")+SUMIFS('João Pullig'!$C$7:$C$385,'João Pullig'!$B$7:$B$385,"FGI")+SUMIFS('Kaio Dias'!$C$7:$C$374,'Kaio Dias'!$B$7:$B$374,"FGI")+SUMIFS('Pablo Ruan'!$C$7:$C$382,'Pablo Ruan'!$B$7:$B$382,"FGI")+SUMIFS(#REF!,#REF!,"FGI")</f>
        <v>#REF!</v>
      </c>
      <c r="D36" s="17" t="e">
        <f>SUMIFS('André Pullig'!$E$7:$E$396,'André Pullig'!$B$7:$B$396,"FGI",'André Pullig'!$L$7:$L$396,"Aprovado")+SUMIFS('Betania Ribeiro'!$E$7:$E$400,'Betania Ribeiro'!$B$7:$B$400,"FGI",'Betania Ribeiro'!$L$7:$L$400,"Aprovado")+SUMIFS('João Pullig'!$E$7:$E$385,'João Pullig'!$B$7:$B$385,"FGI",'João Pullig'!$L$7:$L$385,"Aprovado")+SUMIFS('Kaio Dias'!$E$7:$E$374,'Kaio Dias'!$B$7:$B$374,"FGI",'Kaio Dias'!$L$7:$L$374,"Aprovado")+SUMIFS('Pablo Ruan'!$E$7:$E$382,'Pablo Ruan'!$B$7:$B$382,"FGI",'Pablo Ruan'!$L$7:$L$382,"Aprovado")+SUMIFS(#REF!,#REF!,"FGI",#REF!,"Aprovado")</f>
        <v>#REF!</v>
      </c>
      <c r="E36" s="117"/>
      <c r="F36" s="117"/>
      <c r="G36" s="117"/>
      <c r="H36" s="117"/>
    </row>
    <row r="37" spans="1:8">
      <c r="A37" s="14" t="s">
        <v>359</v>
      </c>
      <c r="B37" s="15" t="e">
        <f>COUNTIFS('André Pullig'!$B$7:$B$396,"Serviço Cadastral")+COUNTIFS('Betania Ribeiro'!$B$7:$B$400,"Serviço Cadastral")+COUNTIFS('João Pullig'!$B$7:$B$385,"Serviço Cadastral")+COUNTIFS('Kaio Dias'!$B$7:$B$374,"Serviço Cadastral")+COUNTIFS('Pablo Ruan'!$B$7:$B$382,"Serviço Cadastral")+COUNTIFS(#REF!,"Serviço Cadastral")</f>
        <v>#REF!</v>
      </c>
      <c r="C37" s="17" t="e">
        <f>SUMIFS('André Pullig'!$C$7:$C$396,'André Pullig'!$B$7:$B$396,"Serviço Cadastral")+SUMIFS('Betania Ribeiro'!$C$7:$C$400,'Betania Ribeiro'!$B$7:$B$400,"Serviço Cadastral")+SUMIFS('João Pullig'!$C$7:$C$385,'João Pullig'!$B$7:$B$385,"Serviço Cadastral")+SUMIFS('Kaio Dias'!$C$7:$C$374,'Kaio Dias'!$B$7:$B$374,"Serviço Cadastral")+SUMIFS('Pablo Ruan'!$C$7:$C$382,'Pablo Ruan'!$B$7:$B$382,"Serviço Cadastral")+SUMIFS(#REF!,#REF!,"Serviço Cadastral")</f>
        <v>#REF!</v>
      </c>
      <c r="D37" s="17" t="e">
        <f>SUMIFS('André Pullig'!$E$7:$E$396,'André Pullig'!$B$7:$B$396,"Serviço Cadastral",'André Pullig'!$L$7:$L$396,"Aprovado")+SUMIFS('Betania Ribeiro'!$E$7:$E$400,'Betania Ribeiro'!$B$7:$B$400,"Serviço Cadastral",'Betania Ribeiro'!$L$7:$L$400,"Aprovado")+SUMIFS('João Pullig'!$E$7:$E$385,'João Pullig'!$B$7:$B$385,"Serviço Cadastral",'João Pullig'!$L$7:$L$385,"Aprovado")+SUMIFS('Kaio Dias'!$E$7:$E$374,'Kaio Dias'!$B$7:$B$374,"Serviço Cadastral",'Kaio Dias'!$L$7:$L$374,"Aprovado")+SUMIFS('Pablo Ruan'!$E$7:$E$382,'Pablo Ruan'!$B$7:$B$382,"Serviço Cadastral",'Pablo Ruan'!$L$7:$L$382,"Aprovado")+SUMIFS(#REF!,#REF!,"Serviço Cadastral",#REF!,"Aprovado")</f>
        <v>#REF!</v>
      </c>
      <c r="E37" s="117"/>
      <c r="F37" s="117"/>
      <c r="G37" s="117"/>
      <c r="H37" s="117"/>
    </row>
    <row r="38" spans="1:8">
      <c r="A38" s="14" t="s">
        <v>360</v>
      </c>
      <c r="B38" s="15" t="e">
        <f>COUNTIFS('André Pullig'!$B$7:$B$396,"Venda de Colégio")+COUNTIFS('Betania Ribeiro'!$B$7:$B$400,"Venda de Colégio")+COUNTIFS('João Pullig'!$B$7:$B$385,"Venda de Colégio")+COUNTIFS('Kaio Dias'!$B$7:$B$374,"Venda de Colégio")+COUNTIFS('Pablo Ruan'!$B$7:$B$382,"Venda de Colégio")+COUNTIFS(#REF!,"Venda de Colégio")</f>
        <v>#REF!</v>
      </c>
      <c r="C38" s="17" t="e">
        <f>SUMIFS('André Pullig'!$C$7:$C$396,'André Pullig'!$B$7:$B$396,"Venda de Colégio")+SUMIFS('Betania Ribeiro'!$C$7:$C$400,'Betania Ribeiro'!$B$7:$B$400,"Venda de Colégio")+SUMIFS('João Pullig'!$C$7:$C$385,'João Pullig'!$B$7:$B$385,"Venda de Colégio")+SUMIFS('Kaio Dias'!$C$7:$C$374,'Kaio Dias'!$B$7:$B$374,"Venda de Colégio")+SUMIFS('Pablo Ruan'!$C$7:$C$382,'Pablo Ruan'!$B$7:$B$382,"Venda de Colégio")+SUMIFS(#REF!,#REF!,"Venda de Colégio")</f>
        <v>#REF!</v>
      </c>
      <c r="D38" s="17" t="e">
        <f>SUMIFS('André Pullig'!$E$7:$E$396,'André Pullig'!$B$7:$B$396,"Venda de Colégio",'André Pullig'!$L$7:$L$396,"Aprovado")+SUMIFS('Betania Ribeiro'!$E$7:$E$400,'Betania Ribeiro'!$B$7:$B$400,"Venda de Colégio",'Betania Ribeiro'!$L$7:$L$400,"Aprovado")+SUMIFS('João Pullig'!$E$7:$E$385,'João Pullig'!$B$7:$B$385,"Venda de Colégio",'João Pullig'!$L$7:$L$385,"Aprovado")+SUMIFS('Kaio Dias'!$E$7:$E$374,'Kaio Dias'!$B$7:$B$374,"Venda de Colégio",'Kaio Dias'!$L$7:$L$374,"Aprovado")+SUMIFS('Pablo Ruan'!$E$7:$E$382,'Pablo Ruan'!$B$7:$B$382,"Venda de Colégio",'Pablo Ruan'!$L$7:$L$382,"Aprovado")+SUMIFS(#REF!,#REF!,"Venda de Colégio",#REF!,"Aprovado")</f>
        <v>#REF!</v>
      </c>
      <c r="E38" s="117"/>
      <c r="F38" s="117"/>
      <c r="G38" s="117"/>
      <c r="H38" s="117"/>
    </row>
    <row r="39" spans="1:8">
      <c r="A39" s="14" t="s">
        <v>361</v>
      </c>
      <c r="B39" s="15" t="e">
        <f>COUNTIFS('André Pullig'!$B$7:$B$396,"Conta / Maquininha")+COUNTIFS('Betania Ribeiro'!$B$7:$B$400,"Conta / Maquininha")+COUNTIFS('João Pullig'!$B$7:$B$385,"Conta / Maquininha")+COUNTIFS('Kaio Dias'!$B$7:$B$374,"Conta / Maquininha")+COUNTIFS('Pablo Ruan'!$B$7:$B$382,"Conta / Maquininha")+COUNTIFS(#REF!,"Conta / Maquininha")</f>
        <v>#REF!</v>
      </c>
      <c r="C39" s="17" t="e">
        <f>SUMIFS('André Pullig'!$C$7:$C$396,'André Pullig'!$B$7:$B$396,"Conta / Maquininha")+SUMIFS('Betania Ribeiro'!$C$7:$C$400,'Betania Ribeiro'!$B$7:$B$400,"Conta / Maquininha")+SUMIFS('João Pullig'!$C$7:$C$385,'João Pullig'!$B$7:$B$385,"Conta / Maquininha")+SUMIFS('Kaio Dias'!$C$7:$C$374,'Kaio Dias'!$B$7:$B$374,"Conta / Maquininha")+SUMIFS('Pablo Ruan'!$C$7:$C$382,'Pablo Ruan'!$B$7:$B$382,"Conta / Maquininha")+SUMIFS(#REF!,#REF!,"Conta / Maquininha")</f>
        <v>#REF!</v>
      </c>
      <c r="D39" s="17" t="e">
        <f>SUMIFS('André Pullig'!$E$7:$E$396,'André Pullig'!$B$7:$B$396,"Conta / Maquininha",'André Pullig'!$L$7:$L$396,"Aprovado")+SUMIFS('Betania Ribeiro'!$E$7:$E$400,'Betania Ribeiro'!$B$7:$B$400,"Conta / Maquininha",'Betania Ribeiro'!$L$7:$L$400,"Aprovado")+SUMIFS('João Pullig'!$E$7:$E$385,'João Pullig'!$B$7:$B$385,"Conta / Maquininha",'João Pullig'!$L$7:$L$385,"Aprovado")+SUMIFS('Kaio Dias'!$E$7:$E$374,'Kaio Dias'!$B$7:$B$374,"Conta / Maquininha",'Kaio Dias'!$L$7:$L$374,"Aprovado")+SUMIFS('Pablo Ruan'!$E$7:$E$382,'Pablo Ruan'!$B$7:$B$382,"Conta / Maquininha",'Pablo Ruan'!$L$7:$L$382,"Aprovado")+SUMIFS(#REF!,#REF!,"Conta / Maquininha",#REF!,"Aprovado")</f>
        <v>#REF!</v>
      </c>
      <c r="E39" s="117"/>
      <c r="F39" s="117"/>
      <c r="G39" s="117"/>
      <c r="H39" s="117"/>
    </row>
    <row r="40" spans="1:8">
      <c r="A40" s="14" t="s">
        <v>362</v>
      </c>
      <c r="B40" s="15" t="e">
        <f>COUNTIFS('André Pullig'!$B$7:$B$396,"Câmbio")+COUNTIFS('Betania Ribeiro'!$B$7:$B$400,"Câmbio")+COUNTIFS('João Pullig'!$B$7:$B$385,"Câmbio")+COUNTIFS('Kaio Dias'!$B$7:$B$374,"Câmbio")+COUNTIFS('Pablo Ruan'!$B$7:$B$382,"Câmbio")+COUNTIFS(#REF!,"Câmbio")</f>
        <v>#REF!</v>
      </c>
      <c r="C40" s="17" t="e">
        <f>SUMIFS('André Pullig'!$C$7:$C$396,'André Pullig'!$B$7:$B$396,"Câmbio")+SUMIFS('Betania Ribeiro'!$C$7:$C$400,'Betania Ribeiro'!$B$7:$B$400,"Câmbio")+SUMIFS('João Pullig'!$C$7:$C$385,'João Pullig'!$B$7:$B$385,"Câmbio")+SUMIFS('Kaio Dias'!$C$7:$C$374,'Kaio Dias'!$B$7:$B$374,"Câmbio")+SUMIFS('Pablo Ruan'!$C$7:$C$382,'Pablo Ruan'!$B$7:$B$382,"Câmbio")+SUMIFS(#REF!,#REF!,"Câmbio")</f>
        <v>#REF!</v>
      </c>
      <c r="D40" s="17" t="e">
        <f>SUMIFS('André Pullig'!$E$7:$E$396,'André Pullig'!$B$7:$B$396,"Câmbio",'André Pullig'!$L$7:$L$396,"Aprovado")+SUMIFS('Betania Ribeiro'!$E$7:$E$400,'Betania Ribeiro'!$B$7:$B$400,"Câmbio",'Betania Ribeiro'!$L$7:$L$400,"Aprovado")+SUMIFS('João Pullig'!$E$7:$E$385,'João Pullig'!$B$7:$B$385,"Câmbio",'João Pullig'!$L$7:$L$385,"Aprovado")+SUMIFS('Kaio Dias'!$E$7:$E$374,'Kaio Dias'!$B$7:$B$374,"Câmbio",'Kaio Dias'!$L$7:$L$374,"Aprovado")+SUMIFS('Pablo Ruan'!$E$7:$E$382,'Pablo Ruan'!$B$7:$B$382,"Câmbio",'Pablo Ruan'!$L$7:$L$382,"Aprovado")+SUMIFS(#REF!,#REF!,"Câmbio",#REF!,"Aprovado")</f>
        <v>#REF!</v>
      </c>
      <c r="E40" s="117"/>
      <c r="F40" s="117"/>
      <c r="G40" s="117"/>
      <c r="H40" s="117"/>
    </row>
    <row r="41" spans="1:8">
      <c r="A41" s="14" t="s">
        <v>363</v>
      </c>
      <c r="B41" s="15" t="e">
        <f>COUNTIFS('André Pullig'!$B$7:$B$396,"Operação Estruturada")+COUNTIFS('Betania Ribeiro'!$B$7:$B$400,"Operação Estruturada")+COUNTIFS('João Pullig'!$B$7:$B$385,"Operação Estruturada")+COUNTIFS('Kaio Dias'!$B$7:$B$374,"Operação Estruturada")+COUNTIFS('Pablo Ruan'!$B$7:$B$382,"Operação Estruturada")+COUNTIFS(#REF!,"Operação Estruturada")</f>
        <v>#REF!</v>
      </c>
      <c r="C41" s="17" t="e">
        <f>SUMIFS('André Pullig'!$C$7:$C$396,'André Pullig'!$B$7:$B$396,"Operação Estruturada")+SUMIFS('Betania Ribeiro'!$C$7:$C$400,'Betania Ribeiro'!$B$7:$B$400,"Operação Estruturada")+SUMIFS('João Pullig'!$C$7:$C$385,'João Pullig'!$B$7:$B$385,"Operação Estruturada")+SUMIFS('Kaio Dias'!$C$7:$C$374,'Kaio Dias'!$B$7:$B$374,"Operação Estruturada")+SUMIFS('Pablo Ruan'!$C$7:$C$382,'Pablo Ruan'!$B$7:$B$382,"Operação Estruturada")+SUMIFS(#REF!,#REF!,"Operação Estruturada")</f>
        <v>#REF!</v>
      </c>
      <c r="D41" s="17" t="e">
        <f>SUMIFS('André Pullig'!$E$7:$E$396,'André Pullig'!$B$7:$B$396,"Operação Estruturada",'André Pullig'!$L$7:$L$396,"Aprovado")+SUMIFS('Betania Ribeiro'!$E$7:$E$400,'Betania Ribeiro'!$B$7:$B$400,"Operação Estruturada",'Betania Ribeiro'!$L$7:$L$400,"Aprovado")+SUMIFS('João Pullig'!$E$7:$E$385,'João Pullig'!$B$7:$B$385,"Operação Estruturada",'João Pullig'!$L$7:$L$385,"Aprovado")+SUMIFS('Kaio Dias'!$E$7:$E$374,'Kaio Dias'!$B$7:$B$374,"Operação Estruturada",'Kaio Dias'!$L$7:$L$374,"Aprovado")+SUMIFS('Pablo Ruan'!$E$7:$E$382,'Pablo Ruan'!$B$7:$B$382,"Operação Estruturada",'Pablo Ruan'!$L$7:$L$382,"Aprovado")+SUMIFS(#REF!,#REF!,"Operação Estruturada",#REF!,"Aprovado")</f>
        <v>#REF!</v>
      </c>
      <c r="E41" s="117"/>
      <c r="F41" s="117"/>
      <c r="G41" s="117"/>
      <c r="H41" s="117"/>
    </row>
    <row r="43" spans="1:8" ht="19.899999999999999" customHeight="1">
      <c r="A43" s="11" t="s">
        <v>364</v>
      </c>
      <c r="B43" s="12"/>
      <c r="C43" s="12"/>
      <c r="D43" s="12"/>
      <c r="E43" s="12"/>
      <c r="F43" s="12"/>
      <c r="G43" s="117"/>
      <c r="H43" s="117"/>
    </row>
    <row r="44" spans="1:8">
      <c r="A44" s="23" t="s">
        <v>365</v>
      </c>
      <c r="B44" s="128" t="s">
        <v>18</v>
      </c>
      <c r="C44" s="129"/>
      <c r="D44" s="24" t="s">
        <v>366</v>
      </c>
      <c r="E44" s="117"/>
      <c r="F44" s="117"/>
      <c r="G44" s="117"/>
      <c r="H44" s="117"/>
    </row>
    <row r="46" spans="1:8">
      <c r="A46" s="130" t="s">
        <v>338</v>
      </c>
      <c r="B46" s="131"/>
      <c r="C46" s="130" t="s">
        <v>333</v>
      </c>
      <c r="D46" s="131"/>
      <c r="E46" s="130" t="s">
        <v>334</v>
      </c>
      <c r="F46" s="131"/>
      <c r="G46" s="130" t="s">
        <v>335</v>
      </c>
      <c r="H46" s="131"/>
    </row>
    <row r="47" spans="1:8" ht="24" customHeight="1">
      <c r="A47" s="134" t="e">
        <f>COUNTIFS('André Pullig'!$H$7:$H$396,B44)+COUNTIFS('Betania Ribeiro'!$H$7:$H$400,B44)+COUNTIFS('João Pullig'!$H$7:$H$385,B44)+COUNTIFS('Kaio Dias'!$H$7:$H$374,B44)+COUNTIFS('Pablo Ruan'!$H$7:$H$382,B44)+COUNTIFS(#REF!,B44)</f>
        <v>#REF!</v>
      </c>
      <c r="B47" s="129"/>
      <c r="C47" s="135" t="e">
        <f>SUMIFS('André Pullig'!$C$7:$C$396,'André Pullig'!$H$7:$H$396,B44,'André Pullig'!$L$7:$L$396,"&lt;&gt;Aprovado",'André Pullig'!$L$7:$L$396,"&lt;&gt;Reprovado",'André Pullig'!$L$7:$L$396,"&lt;&gt;")+SUMIFS('Betania Ribeiro'!$C$7:$C$400,'Betania Ribeiro'!$H$7:$H$400,B44,'Betania Ribeiro'!$L$7:$L$400,"&lt;&gt;Aprovado",'Betania Ribeiro'!$L$7:$L$400,"&lt;&gt;Reprovado",'Betania Ribeiro'!$L$7:$L$400,"&lt;&gt;")+SUMIFS('João Pullig'!$C$7:$C$385,'João Pullig'!$H$7:$H$385,B44,'João Pullig'!$L$7:$L$385,"&lt;&gt;Aprovado",'João Pullig'!$L$7:$L$385,"&lt;&gt;Reprovado",'João Pullig'!$L$7:$L$385,"&lt;&gt;")+SUMIFS('Kaio Dias'!$C$7:$C$374,'Kaio Dias'!$H$7:$H$374,B44,'Kaio Dias'!$L$7:$L$374,"&lt;&gt;Aprovado",'Kaio Dias'!$L$7:$L$374,"&lt;&gt;Reprovado",'Kaio Dias'!$L$7:$L$374,"&lt;&gt;")+SUMIFS('Pablo Ruan'!$C$7:$C$382,'Pablo Ruan'!$H$7:$H$382,B44,'Pablo Ruan'!$L$7:$L$382,"&lt;&gt;Aprovado",'Pablo Ruan'!$L$7:$L$382,"&lt;&gt;Reprovado",'Pablo Ruan'!$L$7:$L$382,"&lt;&gt;")+SUMIFS(#REF!,#REF!,B44,#REF!,"&lt;&gt;Aprovado",#REF!,"&lt;&gt;Reprovado",#REF!,"&lt;&gt;")</f>
        <v>#REF!</v>
      </c>
      <c r="D47" s="129"/>
      <c r="E47" s="135" t="e">
        <f>SUMIFS('André Pullig'!$C$7:$C$396,'André Pullig'!$H$7:$H$396,B44,'André Pullig'!$L$7:$L$396,"Aprovado")+SUMIFS('Betania Ribeiro'!$C$7:$C$400,'Betania Ribeiro'!$H$7:$H$400,B44,'Betania Ribeiro'!$L$7:$L$400,"Aprovado")+SUMIFS('João Pullig'!$C$7:$C$385,'João Pullig'!$H$7:$H$385,B44,'João Pullig'!$L$7:$L$385,"Aprovado")+SUMIFS('Kaio Dias'!$C$7:$C$374,'Kaio Dias'!$H$7:$H$374,B44,'Kaio Dias'!$L$7:$L$374,"Aprovado")+SUMIFS('Pablo Ruan'!$C$7:$C$382,'Pablo Ruan'!$H$7:$H$382,B44,'Pablo Ruan'!$L$7:$L$382,"Aprovado")+SUMIFS(#REF!,#REF!,B44,#REF!,"Aprovado")</f>
        <v>#REF!</v>
      </c>
      <c r="F47" s="129"/>
      <c r="G47" s="135" t="e">
        <f>SUMIFS('André Pullig'!$E$7:$E$396,'André Pullig'!$H$7:$H$396,B44,'André Pullig'!$L$7:$L$396,"Aprovado")+SUMIFS('Betania Ribeiro'!$E$7:$E$400,'Betania Ribeiro'!$H$7:$H$400,B44,'Betania Ribeiro'!$L$7:$L$400,"Aprovado")+SUMIFS('João Pullig'!$E$7:$E$385,'João Pullig'!$H$7:$H$385,B44,'João Pullig'!$L$7:$L$385,"Aprovado")+SUMIFS('Kaio Dias'!$E$7:$E$374,'Kaio Dias'!$H$7:$H$374,B44,'Kaio Dias'!$L$7:$L$374,"Aprovado")+SUMIFS('Pablo Ruan'!$E$7:$E$382,'Pablo Ruan'!$H$7:$H$382,B44,'Pablo Ruan'!$L$7:$L$382,"Aprovado")+SUMIFS(#REF!,#REF!,B44,#REF!,"Aprovado")</f>
        <v>#REF!</v>
      </c>
      <c r="H47" s="129"/>
    </row>
    <row r="49" spans="1:1">
      <c r="A49" s="25" t="s">
        <v>367</v>
      </c>
    </row>
    <row r="50" spans="1:1">
      <c r="A50" s="25" t="s">
        <v>368</v>
      </c>
    </row>
    <row r="51" spans="1:1">
      <c r="A51" s="25" t="s">
        <v>369</v>
      </c>
    </row>
    <row r="52" spans="1:1">
      <c r="A52" s="25" t="s">
        <v>370</v>
      </c>
    </row>
    <row r="53" spans="1:1">
      <c r="A53" s="25" t="s">
        <v>371</v>
      </c>
    </row>
  </sheetData>
  <mergeCells count="17">
    <mergeCell ref="G46:H46"/>
    <mergeCell ref="A47:B47"/>
    <mergeCell ref="C47:D47"/>
    <mergeCell ref="E47:F47"/>
    <mergeCell ref="G47:H47"/>
    <mergeCell ref="G5:H5"/>
    <mergeCell ref="A6:B6"/>
    <mergeCell ref="C6:D6"/>
    <mergeCell ref="E6:F6"/>
    <mergeCell ref="G6:H6"/>
    <mergeCell ref="B44:C44"/>
    <mergeCell ref="A46:B46"/>
    <mergeCell ref="C46:D46"/>
    <mergeCell ref="E46:F46"/>
    <mergeCell ref="A5:B5"/>
    <mergeCell ref="C5:D5"/>
    <mergeCell ref="E5:F5"/>
  </mergeCells>
  <conditionalFormatting sqref="C10:C15">
    <cfRule type="cellIs" dxfId="18" priority="2" operator="greaterThan">
      <formula>0</formula>
    </cfRule>
  </conditionalFormatting>
  <conditionalFormatting sqref="C20:C26">
    <cfRule type="dataBar" priority="3">
      <dataBar>
        <cfvo type="num" val="0"/>
        <cfvo type="max"/>
        <color rgb="FF4E7CA1"/>
      </dataBar>
    </cfRule>
  </conditionalFormatting>
  <conditionalFormatting sqref="C30:C41">
    <cfRule type="dataBar" priority="4">
      <dataBar>
        <cfvo type="num" val="0"/>
        <cfvo type="max"/>
        <color rgb="FF6B8E9F"/>
      </dataBar>
    </cfRule>
  </conditionalFormatting>
  <conditionalFormatting sqref="F10:F15">
    <cfRule type="dataBar" priority="1">
      <dataBar>
        <cfvo type="num" val="0"/>
        <cfvo type="max"/>
        <color rgb="FFC9A24B"/>
      </dataBar>
    </cfRule>
  </conditionalFormatting>
  <dataValidations count="1">
    <dataValidation type="list" allowBlank="1" prompt="Escolha para ver os números dessa instituição." sqref="B44" xr:uid="{0A726CD8-0207-488F-9B73-E64716526294}">
      <formula1>ListaParceiros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31404-1A5C-4DC2-B82D-EA959B17DABE}">
  <dimension ref="A1:P46"/>
  <sheetViews>
    <sheetView showGridLines="0" workbookViewId="0">
      <pane xSplit="1" ySplit="5" topLeftCell="B6" activePane="bottomRight" state="frozen"/>
      <selection pane="bottomRight" activeCell="P33" sqref="P33"/>
      <selection pane="bottomLeft"/>
      <selection pane="topRight"/>
    </sheetView>
  </sheetViews>
  <sheetFormatPr defaultRowHeight="14.45"/>
  <cols>
    <col min="1" max="1" width="26" customWidth="1"/>
    <col min="2" max="13" width="12" customWidth="1"/>
    <col min="14" max="14" width="15" customWidth="1"/>
    <col min="15" max="15" width="13" customWidth="1"/>
    <col min="16" max="16" width="15" customWidth="1"/>
  </cols>
  <sheetData>
    <row r="1" spans="1:16" ht="24" customHeight="1">
      <c r="A1" s="1" t="s">
        <v>372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</row>
    <row r="2" spans="1:16">
      <c r="A2" s="2" t="s">
        <v>373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</row>
    <row r="3" spans="1:16">
      <c r="A3" s="26" t="s">
        <v>374</v>
      </c>
      <c r="B3" s="27">
        <v>2026</v>
      </c>
      <c r="C3" s="24" t="s">
        <v>375</v>
      </c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</row>
    <row r="4" spans="1:16">
      <c r="A4" s="26" t="s">
        <v>376</v>
      </c>
      <c r="B4" s="98">
        <f>DATE(2026,7,1)</f>
        <v>46204</v>
      </c>
      <c r="C4" s="24" t="s">
        <v>377</v>
      </c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7"/>
    </row>
    <row r="5" spans="1:16" ht="30" customHeight="1">
      <c r="A5" s="4" t="s">
        <v>378</v>
      </c>
      <c r="B5" s="28" t="s">
        <v>379</v>
      </c>
      <c r="C5" s="28" t="s">
        <v>380</v>
      </c>
      <c r="D5" s="28" t="s">
        <v>381</v>
      </c>
      <c r="E5" s="28" t="s">
        <v>382</v>
      </c>
      <c r="F5" s="28" t="s">
        <v>383</v>
      </c>
      <c r="G5" s="28" t="s">
        <v>384</v>
      </c>
      <c r="H5" s="28" t="s">
        <v>385</v>
      </c>
      <c r="I5" s="28" t="s">
        <v>386</v>
      </c>
      <c r="J5" s="28" t="s">
        <v>387</v>
      </c>
      <c r="K5" s="28" t="s">
        <v>388</v>
      </c>
      <c r="L5" s="28" t="s">
        <v>389</v>
      </c>
      <c r="M5" s="28" t="s">
        <v>390</v>
      </c>
      <c r="N5" s="28" t="s">
        <v>391</v>
      </c>
      <c r="O5" s="28" t="s">
        <v>392</v>
      </c>
      <c r="P5" s="28" t="s">
        <v>393</v>
      </c>
    </row>
    <row r="6" spans="1:16">
      <c r="A6" s="29" t="s">
        <v>394</v>
      </c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</row>
    <row r="7" spans="1:16">
      <c r="A7" s="31" t="s">
        <v>395</v>
      </c>
      <c r="B7" s="42">
        <v>20000</v>
      </c>
      <c r="C7" s="42">
        <v>23000</v>
      </c>
      <c r="D7" s="42">
        <v>26000</v>
      </c>
      <c r="E7" s="42">
        <v>30000</v>
      </c>
      <c r="F7" s="42">
        <v>25000</v>
      </c>
      <c r="G7" s="42">
        <v>23000</v>
      </c>
      <c r="H7" s="42">
        <v>26000</v>
      </c>
      <c r="I7" s="42">
        <v>30000</v>
      </c>
      <c r="J7" s="42">
        <v>26000</v>
      </c>
      <c r="K7" s="42">
        <v>25000</v>
      </c>
      <c r="L7" s="42">
        <v>20000</v>
      </c>
      <c r="M7" s="42">
        <v>18000</v>
      </c>
      <c r="N7" s="33">
        <f>SUM(B7:M7)</f>
        <v>292000</v>
      </c>
      <c r="O7" s="117"/>
      <c r="P7" s="117"/>
    </row>
    <row r="8" spans="1:16">
      <c r="A8" s="34" t="s">
        <v>396</v>
      </c>
      <c r="B8" s="35">
        <f>IF(DATE($B$3,1,1)&gt;=$B$4,SUMIFS('André Pullig'!$E$7:$E$396,'André Pullig'!$L$7:$L$396,"Finalizado",'André Pullig'!$M$7:$M$396,"&gt;="&amp;DATE($B$3,1,1),'André Pullig'!$M$7:$M$396,"&lt;"&amp;DATE($B$3,2,1))+SUMIFS(HISTÓRICO!$F$5:$F$268,HISTÓRICO!$A$5:$A$268,"*André Pullig*",HISTÓRICO!$M$5:$M$268,"Finalizado",HISTÓRICO!$N$5:$N$268,"&gt;="&amp;DATE($B$3,1,1),HISTÓRICO!$N$5:$N$268,"&lt;"&amp;DATE($B$3,2,1)),SUMIFS('André Pullig'!$E$7:$E$396,'André Pullig'!$L$7:$L$396,"Aprovado",'André Pullig'!$M$7:$M$396,"&gt;="&amp;DATE($B$3,1,1),'André Pullig'!$M$7:$M$396,"&lt;"&amp;DATE($B$3,2,1)))</f>
        <v>0</v>
      </c>
      <c r="C8" s="35">
        <f>IF(DATE($B$3,2,1)&gt;=$B$4,SUMIFS('André Pullig'!$E$7:$E$396,'André Pullig'!$L$7:$L$396,"Finalizado",'André Pullig'!$M$7:$M$396,"&gt;="&amp;DATE($B$3,2,1),'André Pullig'!$M$7:$M$396,"&lt;"&amp;DATE($B$3,3,1))+SUMIFS(HISTÓRICO!$F$5:$F$268,HISTÓRICO!$A$5:$A$268,"*André Pullig*",HISTÓRICO!$M$5:$M$268,"Finalizado",HISTÓRICO!$N$5:$N$268,"&gt;="&amp;DATE($B$3,2,1),HISTÓRICO!$N$5:$N$268,"&lt;"&amp;DATE($B$3,3,1)),SUMIFS('André Pullig'!$E$7:$E$396,'André Pullig'!$L$7:$L$396,"Aprovado",'André Pullig'!$M$7:$M$396,"&gt;="&amp;DATE($B$3,2,1),'André Pullig'!$M$7:$M$396,"&lt;"&amp;DATE($B$3,3,1)))</f>
        <v>0</v>
      </c>
      <c r="D8" s="35">
        <f>IF(DATE($B$3,3,1)&gt;=$B$4,SUMIFS('André Pullig'!$E$7:$E$396,'André Pullig'!$L$7:$L$396,"Finalizado",'André Pullig'!$M$7:$M$396,"&gt;="&amp;DATE($B$3,3,1),'André Pullig'!$M$7:$M$396,"&lt;"&amp;DATE($B$3,4,1))+SUMIFS(HISTÓRICO!$F$5:$F$268,HISTÓRICO!$A$5:$A$268,"*André Pullig*",HISTÓRICO!$M$5:$M$268,"Finalizado",HISTÓRICO!$N$5:$N$268,"&gt;="&amp;DATE($B$3,3,1),HISTÓRICO!$N$5:$N$268,"&lt;"&amp;DATE($B$3,4,1)),SUMIFS('André Pullig'!$E$7:$E$396,'André Pullig'!$L$7:$L$396,"Aprovado",'André Pullig'!$M$7:$M$396,"&gt;="&amp;DATE($B$3,3,1),'André Pullig'!$M$7:$M$396,"&lt;"&amp;DATE($B$3,4,1)))</f>
        <v>0</v>
      </c>
      <c r="E8" s="35">
        <f>IF(DATE($B$3,4,1)&gt;=$B$4,SUMIFS('André Pullig'!$E$7:$E$396,'André Pullig'!$L$7:$L$396,"Finalizado",'André Pullig'!$M$7:$M$396,"&gt;="&amp;DATE($B$3,4,1),'André Pullig'!$M$7:$M$396,"&lt;"&amp;DATE($B$3,5,1))+SUMIFS(HISTÓRICO!$F$5:$F$268,HISTÓRICO!$A$5:$A$268,"*André Pullig*",HISTÓRICO!$M$5:$M$268,"Finalizado",HISTÓRICO!$N$5:$N$268,"&gt;="&amp;DATE($B$3,4,1),HISTÓRICO!$N$5:$N$268,"&lt;"&amp;DATE($B$3,5,1)),SUMIFS('André Pullig'!$E$7:$E$396,'André Pullig'!$L$7:$L$396,"Aprovado",'André Pullig'!$M$7:$M$396,"&gt;="&amp;DATE($B$3,4,1),'André Pullig'!$M$7:$M$396,"&lt;"&amp;DATE($B$3,5,1)))</f>
        <v>0</v>
      </c>
      <c r="F8" s="35">
        <f>IF(DATE($B$3,5,1)&gt;=$B$4,SUMIFS('André Pullig'!$E$7:$E$396,'André Pullig'!$L$7:$L$396,"Finalizado",'André Pullig'!$M$7:$M$396,"&gt;="&amp;DATE($B$3,5,1),'André Pullig'!$M$7:$M$396,"&lt;"&amp;DATE($B$3,6,1))+SUMIFS(HISTÓRICO!$F$5:$F$268,HISTÓRICO!$A$5:$A$268,"*André Pullig*",HISTÓRICO!$M$5:$M$268,"Finalizado",HISTÓRICO!$N$5:$N$268,"&gt;="&amp;DATE($B$3,5,1),HISTÓRICO!$N$5:$N$268,"&lt;"&amp;DATE($B$3,6,1)),SUMIFS('André Pullig'!$E$7:$E$396,'André Pullig'!$L$7:$L$396,"Aprovado",'André Pullig'!$M$7:$M$396,"&gt;="&amp;DATE($B$3,5,1),'André Pullig'!$M$7:$M$396,"&lt;"&amp;DATE($B$3,6,1)))</f>
        <v>0</v>
      </c>
      <c r="G8" s="35">
        <f>IF(DATE($B$3,6,1)&gt;=$B$4,SUMIFS('André Pullig'!$E$7:$E$396,'André Pullig'!$L$7:$L$396,"Finalizado",'André Pullig'!$M$7:$M$396,"&gt;="&amp;DATE($B$3,6,1),'André Pullig'!$M$7:$M$396,"&lt;"&amp;DATE($B$3,7,1))+SUMIFS(HISTÓRICO!$F$5:$F$268,HISTÓRICO!$A$5:$A$268,"*André Pullig*",HISTÓRICO!$M$5:$M$268,"Finalizado",HISTÓRICO!$N$5:$N$268,"&gt;="&amp;DATE($B$3,6,1),HISTÓRICO!$N$5:$N$268,"&lt;"&amp;DATE($B$3,7,1)),SUMIFS('André Pullig'!$E$7:$E$396,'André Pullig'!$L$7:$L$396,"Aprovado",'André Pullig'!$M$7:$M$396,"&gt;="&amp;DATE($B$3,6,1),'André Pullig'!$M$7:$M$396,"&lt;"&amp;DATE($B$3,7,1)))</f>
        <v>0</v>
      </c>
      <c r="H8" s="35">
        <f>IF(DATE($B$3,7,1)&gt;=$B$4,SUMIFS('André Pullig'!$E$7:$E$396,'André Pullig'!$L$7:$L$396,"Finalizado",'André Pullig'!$M$7:$M$396,"&gt;="&amp;DATE($B$3,7,1),'André Pullig'!$M$7:$M$396,"&lt;"&amp;DATE($B$3,8,1))+SUMIFS(HISTÓRICO!$F$5:$F$268,HISTÓRICO!$A$5:$A$268,"*André Pullig*",HISTÓRICO!$M$5:$M$268,"Finalizado",HISTÓRICO!$N$5:$N$268,"&gt;="&amp;DATE($B$3,7,1),HISTÓRICO!$N$5:$N$268,"&lt;"&amp;DATE($B$3,8,1)),SUMIFS('André Pullig'!$E$7:$E$396,'André Pullig'!$L$7:$L$396,"Aprovado",'André Pullig'!$M$7:$M$396,"&gt;="&amp;DATE($B$3,7,1),'André Pullig'!$M$7:$M$396,"&lt;"&amp;DATE($B$3,8,1)))</f>
        <v>0</v>
      </c>
      <c r="I8" s="35">
        <f>IF(DATE($B$3,8,1)&gt;=$B$4,SUMIFS('André Pullig'!$E$7:$E$396,'André Pullig'!$L$7:$L$396,"Finalizado",'André Pullig'!$M$7:$M$396,"&gt;="&amp;DATE($B$3,8,1),'André Pullig'!$M$7:$M$396,"&lt;"&amp;DATE($B$3,9,1))+SUMIFS(HISTÓRICO!$F$5:$F$268,HISTÓRICO!$A$5:$A$268,"*André Pullig*",HISTÓRICO!$M$5:$M$268,"Finalizado",HISTÓRICO!$N$5:$N$268,"&gt;="&amp;DATE($B$3,8,1),HISTÓRICO!$N$5:$N$268,"&lt;"&amp;DATE($B$3,9,1)),SUMIFS('André Pullig'!$E$7:$E$396,'André Pullig'!$L$7:$L$396,"Aprovado",'André Pullig'!$M$7:$M$396,"&gt;="&amp;DATE($B$3,8,1),'André Pullig'!$M$7:$M$396,"&lt;"&amp;DATE($B$3,9,1)))</f>
        <v>15000</v>
      </c>
      <c r="J8" s="35">
        <f>IF(DATE($B$3,9,1)&gt;=$B$4,SUMIFS('André Pullig'!$E$7:$E$396,'André Pullig'!$L$7:$L$396,"Finalizado",'André Pullig'!$M$7:$M$396,"&gt;="&amp;DATE($B$3,9,1),'André Pullig'!$M$7:$M$396,"&lt;"&amp;DATE($B$3,10,1))+SUMIFS(HISTÓRICO!$F$5:$F$268,HISTÓRICO!$A$5:$A$268,"*André Pullig*",HISTÓRICO!$M$5:$M$268,"Finalizado",HISTÓRICO!$N$5:$N$268,"&gt;="&amp;DATE($B$3,9,1),HISTÓRICO!$N$5:$N$268,"&lt;"&amp;DATE($B$3,10,1)),SUMIFS('André Pullig'!$E$7:$E$396,'André Pullig'!$L$7:$L$396,"Aprovado",'André Pullig'!$M$7:$M$396,"&gt;="&amp;DATE($B$3,9,1),'André Pullig'!$M$7:$M$396,"&lt;"&amp;DATE($B$3,10,1)))</f>
        <v>10500</v>
      </c>
      <c r="K8" s="35">
        <f>IF(DATE($B$3,10,1)&gt;=$B$4,SUMIFS('André Pullig'!$E$7:$E$396,'André Pullig'!$L$7:$L$396,"Finalizado",'André Pullig'!$M$7:$M$396,"&gt;="&amp;DATE($B$3,10,1),'André Pullig'!$M$7:$M$396,"&lt;"&amp;DATE($B$3,11,1))+SUMIFS(HISTÓRICO!$F$5:$F$268,HISTÓRICO!$A$5:$A$268,"*André Pullig*",HISTÓRICO!$M$5:$M$268,"Finalizado",HISTÓRICO!$N$5:$N$268,"&gt;="&amp;DATE($B$3,10,1),HISTÓRICO!$N$5:$N$268,"&lt;"&amp;DATE($B$3,11,1)),SUMIFS('André Pullig'!$E$7:$E$396,'André Pullig'!$L$7:$L$396,"Aprovado",'André Pullig'!$M$7:$M$396,"&gt;="&amp;DATE($B$3,10,1),'André Pullig'!$M$7:$M$396,"&lt;"&amp;DATE($B$3,11,1)))</f>
        <v>0</v>
      </c>
      <c r="L8" s="35">
        <f>IF(DATE($B$3,11,1)&gt;=$B$4,SUMIFS('André Pullig'!$E$7:$E$396,'André Pullig'!$L$7:$L$396,"Finalizado",'André Pullig'!$M$7:$M$396,"&gt;="&amp;DATE($B$3,11,1),'André Pullig'!$M$7:$M$396,"&lt;"&amp;DATE($B$3,12,1))+SUMIFS(HISTÓRICO!$F$5:$F$268,HISTÓRICO!$A$5:$A$268,"*André Pullig*",HISTÓRICO!$M$5:$M$268,"Finalizado",HISTÓRICO!$N$5:$N$268,"&gt;="&amp;DATE($B$3,11,1),HISTÓRICO!$N$5:$N$268,"&lt;"&amp;DATE($B$3,12,1)),SUMIFS('André Pullig'!$E$7:$E$396,'André Pullig'!$L$7:$L$396,"Aprovado",'André Pullig'!$M$7:$M$396,"&gt;="&amp;DATE($B$3,11,1),'André Pullig'!$M$7:$M$396,"&lt;"&amp;DATE($B$3,12,1)))</f>
        <v>0</v>
      </c>
      <c r="M8" s="35">
        <f>IF(DATE($B$3,12,1)&gt;=$B$4,SUMIFS('André Pullig'!$E$7:$E$396,'André Pullig'!$L$7:$L$396,"Finalizado",'André Pullig'!$M$7:$M$396,"&gt;="&amp;DATE($B$3,12,1),'André Pullig'!$M$7:$M$396,"&lt;"&amp;DATE($B$3,13,1))+SUMIFS(HISTÓRICO!$F$5:$F$268,HISTÓRICO!$A$5:$A$268,"*André Pullig*",HISTÓRICO!$M$5:$M$268,"Finalizado",HISTÓRICO!$N$5:$N$268,"&gt;="&amp;DATE($B$3,12,1),HISTÓRICO!$N$5:$N$268,"&lt;"&amp;DATE($B$3,13,1)),SUMIFS('André Pullig'!$E$7:$E$396,'André Pullig'!$L$7:$L$396,"Aprovado",'André Pullig'!$M$7:$M$396,"&gt;="&amp;DATE($B$3,12,1),'André Pullig'!$M$7:$M$396,"&lt;"&amp;DATE($B$3,13,1)))</f>
        <v>0</v>
      </c>
      <c r="N8" s="36">
        <f>SUM(B8:M8)</f>
        <v>25500</v>
      </c>
      <c r="O8" s="117"/>
      <c r="P8" s="37">
        <f>SUMIFS('André Pullig'!$E$7:$E$396,'André Pullig'!$L$7:$L$396,"Aprovado",'André Pullig'!$M$7:$M$396,"")+SUMIFS('André Pullig'!$E$7:$E$396,'André Pullig'!$L$7:$L$396,"Finalizado",'André Pullig'!$M$7:$M$396,"")+SUMIFS(HISTÓRICO!$F$5:$F$268,HISTÓRICO!$A$5:$A$268,"*André Pullig*",HISTÓRICO!$M$5:$M$268,"Aprovado",HISTÓRICO!$N$5:$N$268,"")+SUMIFS(HISTÓRICO!$F$5:$F$268,HISTÓRICO!$A$5:$A$268,"*André Pullig*",HISTÓRICO!$M$5:$M$268,"Finalizado",HISTÓRICO!$N$5:$N$268,"")</f>
        <v>0</v>
      </c>
    </row>
    <row r="9" spans="1:16">
      <c r="A9" s="38" t="s">
        <v>397</v>
      </c>
      <c r="B9" s="39">
        <f t="shared" ref="B9:N9" si="0">IF(N(B7)=0,"",B8/B7)</f>
        <v>0</v>
      </c>
      <c r="C9" s="39">
        <f t="shared" si="0"/>
        <v>0</v>
      </c>
      <c r="D9" s="39">
        <f t="shared" si="0"/>
        <v>0</v>
      </c>
      <c r="E9" s="39">
        <f t="shared" si="0"/>
        <v>0</v>
      </c>
      <c r="F9" s="39">
        <f t="shared" si="0"/>
        <v>0</v>
      </c>
      <c r="G9" s="39">
        <f t="shared" si="0"/>
        <v>0</v>
      </c>
      <c r="H9" s="39">
        <f t="shared" si="0"/>
        <v>0</v>
      </c>
      <c r="I9" s="39">
        <f t="shared" si="0"/>
        <v>0.5</v>
      </c>
      <c r="J9" s="39">
        <f t="shared" si="0"/>
        <v>0.40384615384615385</v>
      </c>
      <c r="K9" s="39">
        <f t="shared" si="0"/>
        <v>0</v>
      </c>
      <c r="L9" s="39">
        <f t="shared" si="0"/>
        <v>0</v>
      </c>
      <c r="M9" s="39">
        <f t="shared" si="0"/>
        <v>0</v>
      </c>
      <c r="N9" s="40">
        <f t="shared" si="0"/>
        <v>8.7328767123287673E-2</v>
      </c>
      <c r="O9" s="41" t="str">
        <f>IF(N(N7)=0,"sem meta",IF(N(N8)=0,"nada aprovado",IF(N8/N7&gt;=1,"na meta",IF(N8/N7&gt;=0.7,"perto","abaixo"))))</f>
        <v>abaixo</v>
      </c>
      <c r="P9" s="117"/>
    </row>
    <row r="11" spans="1:16">
      <c r="A11" s="29" t="s">
        <v>398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</row>
    <row r="12" spans="1:16">
      <c r="A12" s="31" t="s">
        <v>395</v>
      </c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3">
        <f>SUM(B12:M12)</f>
        <v>0</v>
      </c>
      <c r="O12" s="117"/>
      <c r="P12" s="117"/>
    </row>
    <row r="13" spans="1:16">
      <c r="A13" s="34" t="s">
        <v>396</v>
      </c>
      <c r="B13" s="35">
        <f>IF(DATE($B$3,1,1)&gt;=$B$4,SUMIFS('Betania Ribeiro'!$E$7:$E$400,'Betania Ribeiro'!$L$7:$L$400,"Finalizado",'Betania Ribeiro'!$M$7:$M$400,"&gt;="&amp;DATE($B$3,1,1),'Betania Ribeiro'!$M$7:$M$400,"&lt;"&amp;DATE($B$3,2,1))+SUMIFS(HISTÓRICO!$F$5:$F$268,HISTÓRICO!$A$5:$A$268,"*Betania Ribeiro*",HISTÓRICO!$M$5:$M$268,"Finalizado",HISTÓRICO!$N$5:$N$268,"&gt;="&amp;DATE($B$3,1,1),HISTÓRICO!$N$5:$N$268,"&lt;"&amp;DATE($B$3,2,1)),SUMIFS('Betania Ribeiro'!$E$7:$E$400,'Betania Ribeiro'!$L$7:$L$400,"Aprovado",'Betania Ribeiro'!$M$7:$M$400,"&gt;="&amp;DATE($B$3,1,1),'Betania Ribeiro'!$M$7:$M$400,"&lt;"&amp;DATE($B$3,2,1)))</f>
        <v>0</v>
      </c>
      <c r="C13" s="35">
        <f>IF(DATE($B$3,2,1)&gt;=$B$4,SUMIFS('Betania Ribeiro'!$E$7:$E$400,'Betania Ribeiro'!$L$7:$L$400,"Finalizado",'Betania Ribeiro'!$M$7:$M$400,"&gt;="&amp;DATE($B$3,2,1),'Betania Ribeiro'!$M$7:$M$400,"&lt;"&amp;DATE($B$3,3,1))+SUMIFS(HISTÓRICO!$F$5:$F$268,HISTÓRICO!$A$5:$A$268,"*Betania Ribeiro*",HISTÓRICO!$M$5:$M$268,"Finalizado",HISTÓRICO!$N$5:$N$268,"&gt;="&amp;DATE($B$3,2,1),HISTÓRICO!$N$5:$N$268,"&lt;"&amp;DATE($B$3,3,1)),SUMIFS('Betania Ribeiro'!$E$7:$E$400,'Betania Ribeiro'!$L$7:$L$400,"Aprovado",'Betania Ribeiro'!$M$7:$M$400,"&gt;="&amp;DATE($B$3,2,1),'Betania Ribeiro'!$M$7:$M$400,"&lt;"&amp;DATE($B$3,3,1)))</f>
        <v>0</v>
      </c>
      <c r="D13" s="35">
        <f>IF(DATE($B$3,3,1)&gt;=$B$4,SUMIFS('Betania Ribeiro'!$E$7:$E$400,'Betania Ribeiro'!$L$7:$L$400,"Finalizado",'Betania Ribeiro'!$M$7:$M$400,"&gt;="&amp;DATE($B$3,3,1),'Betania Ribeiro'!$M$7:$M$400,"&lt;"&amp;DATE($B$3,4,1))+SUMIFS(HISTÓRICO!$F$5:$F$268,HISTÓRICO!$A$5:$A$268,"*Betania Ribeiro*",HISTÓRICO!$M$5:$M$268,"Finalizado",HISTÓRICO!$N$5:$N$268,"&gt;="&amp;DATE($B$3,3,1),HISTÓRICO!$N$5:$N$268,"&lt;"&amp;DATE($B$3,4,1)),SUMIFS('Betania Ribeiro'!$E$7:$E$400,'Betania Ribeiro'!$L$7:$L$400,"Aprovado",'Betania Ribeiro'!$M$7:$M$400,"&gt;="&amp;DATE($B$3,3,1),'Betania Ribeiro'!$M$7:$M$400,"&lt;"&amp;DATE($B$3,4,1)))</f>
        <v>0</v>
      </c>
      <c r="E13" s="35">
        <f>IF(DATE($B$3,4,1)&gt;=$B$4,SUMIFS('Betania Ribeiro'!$E$7:$E$400,'Betania Ribeiro'!$L$7:$L$400,"Finalizado",'Betania Ribeiro'!$M$7:$M$400,"&gt;="&amp;DATE($B$3,4,1),'Betania Ribeiro'!$M$7:$M$400,"&lt;"&amp;DATE($B$3,5,1))+SUMIFS(HISTÓRICO!$F$5:$F$268,HISTÓRICO!$A$5:$A$268,"*Betania Ribeiro*",HISTÓRICO!$M$5:$M$268,"Finalizado",HISTÓRICO!$N$5:$N$268,"&gt;="&amp;DATE($B$3,4,1),HISTÓRICO!$N$5:$N$268,"&lt;"&amp;DATE($B$3,5,1)),SUMIFS('Betania Ribeiro'!$E$7:$E$400,'Betania Ribeiro'!$L$7:$L$400,"Aprovado",'Betania Ribeiro'!$M$7:$M$400,"&gt;="&amp;DATE($B$3,4,1),'Betania Ribeiro'!$M$7:$M$400,"&lt;"&amp;DATE($B$3,5,1)))</f>
        <v>0</v>
      </c>
      <c r="F13" s="35">
        <f>IF(DATE($B$3,5,1)&gt;=$B$4,SUMIFS('Betania Ribeiro'!$E$7:$E$400,'Betania Ribeiro'!$L$7:$L$400,"Finalizado",'Betania Ribeiro'!$M$7:$M$400,"&gt;="&amp;DATE($B$3,5,1),'Betania Ribeiro'!$M$7:$M$400,"&lt;"&amp;DATE($B$3,6,1))+SUMIFS(HISTÓRICO!$F$5:$F$268,HISTÓRICO!$A$5:$A$268,"*Betania Ribeiro*",HISTÓRICO!$M$5:$M$268,"Finalizado",HISTÓRICO!$N$5:$N$268,"&gt;="&amp;DATE($B$3,5,1),HISTÓRICO!$N$5:$N$268,"&lt;"&amp;DATE($B$3,6,1)),SUMIFS('Betania Ribeiro'!$E$7:$E$400,'Betania Ribeiro'!$L$7:$L$400,"Aprovado",'Betania Ribeiro'!$M$7:$M$400,"&gt;="&amp;DATE($B$3,5,1),'Betania Ribeiro'!$M$7:$M$400,"&lt;"&amp;DATE($B$3,6,1)))</f>
        <v>0</v>
      </c>
      <c r="G13" s="35">
        <f>IF(DATE($B$3,6,1)&gt;=$B$4,SUMIFS('Betania Ribeiro'!$E$7:$E$400,'Betania Ribeiro'!$L$7:$L$400,"Finalizado",'Betania Ribeiro'!$M$7:$M$400,"&gt;="&amp;DATE($B$3,6,1),'Betania Ribeiro'!$M$7:$M$400,"&lt;"&amp;DATE($B$3,7,1))+SUMIFS(HISTÓRICO!$F$5:$F$268,HISTÓRICO!$A$5:$A$268,"*Betania Ribeiro*",HISTÓRICO!$M$5:$M$268,"Finalizado",HISTÓRICO!$N$5:$N$268,"&gt;="&amp;DATE($B$3,6,1),HISTÓRICO!$N$5:$N$268,"&lt;"&amp;DATE($B$3,7,1)),SUMIFS('Betania Ribeiro'!$E$7:$E$400,'Betania Ribeiro'!$L$7:$L$400,"Aprovado",'Betania Ribeiro'!$M$7:$M$400,"&gt;="&amp;DATE($B$3,6,1),'Betania Ribeiro'!$M$7:$M$400,"&lt;"&amp;DATE($B$3,7,1)))</f>
        <v>0</v>
      </c>
      <c r="H13" s="35">
        <f>IF(DATE($B$3,7,1)&gt;=$B$4,SUMIFS('Betania Ribeiro'!$E$7:$E$400,'Betania Ribeiro'!$L$7:$L$400,"Finalizado",'Betania Ribeiro'!$M$7:$M$400,"&gt;="&amp;DATE($B$3,7,1),'Betania Ribeiro'!$M$7:$M$400,"&lt;"&amp;DATE($B$3,8,1))+SUMIFS(HISTÓRICO!$F$5:$F$268,HISTÓRICO!$A$5:$A$268,"*Betania Ribeiro*",HISTÓRICO!$M$5:$M$268,"Finalizado",HISTÓRICO!$N$5:$N$268,"&gt;="&amp;DATE($B$3,7,1),HISTÓRICO!$N$5:$N$268,"&lt;"&amp;DATE($B$3,8,1)),SUMIFS('Betania Ribeiro'!$E$7:$E$400,'Betania Ribeiro'!$L$7:$L$400,"Aprovado",'Betania Ribeiro'!$M$7:$M$400,"&gt;="&amp;DATE($B$3,7,1),'Betania Ribeiro'!$M$7:$M$400,"&lt;"&amp;DATE($B$3,8,1)))</f>
        <v>0</v>
      </c>
      <c r="I13" s="35">
        <f>IF(DATE($B$3,8,1)&gt;=$B$4,SUMIFS('Betania Ribeiro'!$E$7:$E$400,'Betania Ribeiro'!$L$7:$L$400,"Finalizado",'Betania Ribeiro'!$M$7:$M$400,"&gt;="&amp;DATE($B$3,8,1),'Betania Ribeiro'!$M$7:$M$400,"&lt;"&amp;DATE($B$3,9,1))+SUMIFS(HISTÓRICO!$F$5:$F$268,HISTÓRICO!$A$5:$A$268,"*Betania Ribeiro*",HISTÓRICO!$M$5:$M$268,"Finalizado",HISTÓRICO!$N$5:$N$268,"&gt;="&amp;DATE($B$3,8,1),HISTÓRICO!$N$5:$N$268,"&lt;"&amp;DATE($B$3,9,1)),SUMIFS('Betania Ribeiro'!$E$7:$E$400,'Betania Ribeiro'!$L$7:$L$400,"Aprovado",'Betania Ribeiro'!$M$7:$M$400,"&gt;="&amp;DATE($B$3,8,1),'Betania Ribeiro'!$M$7:$M$400,"&lt;"&amp;DATE($B$3,9,1)))</f>
        <v>0</v>
      </c>
      <c r="J13" s="35">
        <f>IF(DATE($B$3,9,1)&gt;=$B$4,SUMIFS('Betania Ribeiro'!$E$7:$E$400,'Betania Ribeiro'!$L$7:$L$400,"Finalizado",'Betania Ribeiro'!$M$7:$M$400,"&gt;="&amp;DATE($B$3,9,1),'Betania Ribeiro'!$M$7:$M$400,"&lt;"&amp;DATE($B$3,10,1))+SUMIFS(HISTÓRICO!$F$5:$F$268,HISTÓRICO!$A$5:$A$268,"*Betania Ribeiro*",HISTÓRICO!$M$5:$M$268,"Finalizado",HISTÓRICO!$N$5:$N$268,"&gt;="&amp;DATE($B$3,9,1),HISTÓRICO!$N$5:$N$268,"&lt;"&amp;DATE($B$3,10,1)),SUMIFS('Betania Ribeiro'!$E$7:$E$400,'Betania Ribeiro'!$L$7:$L$400,"Aprovado",'Betania Ribeiro'!$M$7:$M$400,"&gt;="&amp;DATE($B$3,9,1),'Betania Ribeiro'!$M$7:$M$400,"&lt;"&amp;DATE($B$3,10,1)))</f>
        <v>0</v>
      </c>
      <c r="K13" s="35">
        <f>IF(DATE($B$3,10,1)&gt;=$B$4,SUMIFS('Betania Ribeiro'!$E$7:$E$400,'Betania Ribeiro'!$L$7:$L$400,"Finalizado",'Betania Ribeiro'!$M$7:$M$400,"&gt;="&amp;DATE($B$3,10,1),'Betania Ribeiro'!$M$7:$M$400,"&lt;"&amp;DATE($B$3,11,1))+SUMIFS(HISTÓRICO!$F$5:$F$268,HISTÓRICO!$A$5:$A$268,"*Betania Ribeiro*",HISTÓRICO!$M$5:$M$268,"Finalizado",HISTÓRICO!$N$5:$N$268,"&gt;="&amp;DATE($B$3,10,1),HISTÓRICO!$N$5:$N$268,"&lt;"&amp;DATE($B$3,11,1)),SUMIFS('Betania Ribeiro'!$E$7:$E$400,'Betania Ribeiro'!$L$7:$L$400,"Aprovado",'Betania Ribeiro'!$M$7:$M$400,"&gt;="&amp;DATE($B$3,10,1),'Betania Ribeiro'!$M$7:$M$400,"&lt;"&amp;DATE($B$3,11,1)))</f>
        <v>0</v>
      </c>
      <c r="L13" s="35">
        <f>IF(DATE($B$3,11,1)&gt;=$B$4,SUMIFS('Betania Ribeiro'!$E$7:$E$400,'Betania Ribeiro'!$L$7:$L$400,"Finalizado",'Betania Ribeiro'!$M$7:$M$400,"&gt;="&amp;DATE($B$3,11,1),'Betania Ribeiro'!$M$7:$M$400,"&lt;"&amp;DATE($B$3,12,1))+SUMIFS(HISTÓRICO!$F$5:$F$268,HISTÓRICO!$A$5:$A$268,"*Betania Ribeiro*",HISTÓRICO!$M$5:$M$268,"Finalizado",HISTÓRICO!$N$5:$N$268,"&gt;="&amp;DATE($B$3,11,1),HISTÓRICO!$N$5:$N$268,"&lt;"&amp;DATE($B$3,12,1)),SUMIFS('Betania Ribeiro'!$E$7:$E$400,'Betania Ribeiro'!$L$7:$L$400,"Aprovado",'Betania Ribeiro'!$M$7:$M$400,"&gt;="&amp;DATE($B$3,11,1),'Betania Ribeiro'!$M$7:$M$400,"&lt;"&amp;DATE($B$3,12,1)))</f>
        <v>0</v>
      </c>
      <c r="M13" s="35">
        <f>IF(DATE($B$3,12,1)&gt;=$B$4,SUMIFS('Betania Ribeiro'!$E$7:$E$400,'Betania Ribeiro'!$L$7:$L$400,"Finalizado",'Betania Ribeiro'!$M$7:$M$400,"&gt;="&amp;DATE($B$3,12,1),'Betania Ribeiro'!$M$7:$M$400,"&lt;"&amp;DATE($B$3,13,1))+SUMIFS(HISTÓRICO!$F$5:$F$268,HISTÓRICO!$A$5:$A$268,"*Betania Ribeiro*",HISTÓRICO!$M$5:$M$268,"Finalizado",HISTÓRICO!$N$5:$N$268,"&gt;="&amp;DATE($B$3,12,1),HISTÓRICO!$N$5:$N$268,"&lt;"&amp;DATE($B$3,13,1)),SUMIFS('Betania Ribeiro'!$E$7:$E$400,'Betania Ribeiro'!$L$7:$L$400,"Aprovado",'Betania Ribeiro'!$M$7:$M$400,"&gt;="&amp;DATE($B$3,12,1),'Betania Ribeiro'!$M$7:$M$400,"&lt;"&amp;DATE($B$3,13,1)))</f>
        <v>0</v>
      </c>
      <c r="N13" s="36">
        <f>SUM(B13:M13)</f>
        <v>0</v>
      </c>
      <c r="O13" s="117"/>
      <c r="P13" s="37">
        <f>SUMIFS('Betania Ribeiro'!$E$7:$E$400,'Betania Ribeiro'!$L$7:$L$400,"Aprovado",'Betania Ribeiro'!$M$7:$M$400,"")+SUMIFS('Betania Ribeiro'!$E$7:$E$400,'Betania Ribeiro'!$L$7:$L$400,"Finalizado",'Betania Ribeiro'!$M$7:$M$400,"")+SUMIFS(HISTÓRICO!$F$5:$F$268,HISTÓRICO!$A$5:$A$268,"*Betania Ribeiro*",HISTÓRICO!$M$5:$M$268,"Aprovado",HISTÓRICO!$N$5:$N$268,"")+SUMIFS(HISTÓRICO!$F$5:$F$268,HISTÓRICO!$A$5:$A$268,"*Betania Ribeiro*",HISTÓRICO!$M$5:$M$268,"Finalizado",HISTÓRICO!$N$5:$N$268,"")</f>
        <v>0</v>
      </c>
    </row>
    <row r="14" spans="1:16">
      <c r="A14" s="38" t="s">
        <v>397</v>
      </c>
      <c r="B14" s="39" t="str">
        <f t="shared" ref="B14:N14" si="1">IF(N(B12)=0,"",B13/B12)</f>
        <v/>
      </c>
      <c r="C14" s="39" t="str">
        <f t="shared" si="1"/>
        <v/>
      </c>
      <c r="D14" s="39" t="str">
        <f t="shared" si="1"/>
        <v/>
      </c>
      <c r="E14" s="39" t="str">
        <f t="shared" si="1"/>
        <v/>
      </c>
      <c r="F14" s="39" t="str">
        <f t="shared" si="1"/>
        <v/>
      </c>
      <c r="G14" s="39" t="str">
        <f t="shared" si="1"/>
        <v/>
      </c>
      <c r="H14" s="39" t="str">
        <f t="shared" si="1"/>
        <v/>
      </c>
      <c r="I14" s="39" t="str">
        <f t="shared" si="1"/>
        <v/>
      </c>
      <c r="J14" s="39" t="str">
        <f t="shared" si="1"/>
        <v/>
      </c>
      <c r="K14" s="39" t="str">
        <f t="shared" si="1"/>
        <v/>
      </c>
      <c r="L14" s="39" t="str">
        <f t="shared" si="1"/>
        <v/>
      </c>
      <c r="M14" s="39" t="str">
        <f t="shared" si="1"/>
        <v/>
      </c>
      <c r="N14" s="40" t="str">
        <f t="shared" si="1"/>
        <v/>
      </c>
      <c r="O14" s="41" t="str">
        <f>IF(N(N12)=0,"sem meta",IF(N(N13)=0,"nada aprovado",IF(N13/N12&gt;=1,"na meta",IF(N13/N12&gt;=0.7,"perto","abaixo"))))</f>
        <v>sem meta</v>
      </c>
      <c r="P14" s="117"/>
    </row>
    <row r="16" spans="1:16">
      <c r="A16" s="29" t="s">
        <v>399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</row>
    <row r="17" spans="1:16">
      <c r="A17" s="31" t="s">
        <v>395</v>
      </c>
      <c r="B17" s="42">
        <v>20000</v>
      </c>
      <c r="C17" s="42">
        <v>23000</v>
      </c>
      <c r="D17" s="42">
        <v>26000</v>
      </c>
      <c r="E17" s="42">
        <v>30000</v>
      </c>
      <c r="F17" s="42">
        <v>25000</v>
      </c>
      <c r="G17" s="42">
        <v>23000</v>
      </c>
      <c r="H17" s="42">
        <v>26000</v>
      </c>
      <c r="I17" s="42">
        <v>30000</v>
      </c>
      <c r="J17" s="42">
        <v>26000</v>
      </c>
      <c r="K17" s="42">
        <v>25000</v>
      </c>
      <c r="L17" s="42">
        <v>20000</v>
      </c>
      <c r="M17" s="42">
        <v>18000</v>
      </c>
      <c r="N17" s="33">
        <f>SUM(B17:M17)</f>
        <v>292000</v>
      </c>
      <c r="O17" s="117"/>
      <c r="P17" s="117"/>
    </row>
    <row r="18" spans="1:16">
      <c r="A18" s="34" t="s">
        <v>396</v>
      </c>
      <c r="B18" s="35">
        <f>IF(DATE($B$3,1,1)&gt;=$B$4,SUMIFS('João Pullig'!$E$7:$E$385,'João Pullig'!$L$7:$L$385,"Finalizado",'João Pullig'!$M$7:$M$385,"&gt;="&amp;DATE($B$3,1,1),'João Pullig'!$M$7:$M$385,"&lt;"&amp;DATE($B$3,2,1))+SUMIFS(HISTÓRICO!$F$5:$F$268,HISTÓRICO!$A$5:$A$268,"*João Pullig*",HISTÓRICO!$M$5:$M$268,"Finalizado",HISTÓRICO!$N$5:$N$268,"&gt;="&amp;DATE($B$3,1,1),HISTÓRICO!$N$5:$N$268,"&lt;"&amp;DATE($B$3,2,1)),SUMIFS('João Pullig'!$E$7:$E$385,'João Pullig'!$L$7:$L$385,"Aprovado",'João Pullig'!$M$7:$M$385,"&gt;="&amp;DATE($B$3,1,1),'João Pullig'!$M$7:$M$385,"&lt;"&amp;DATE($B$3,2,1)))</f>
        <v>0</v>
      </c>
      <c r="C18" s="35">
        <f>IF(DATE($B$3,2,1)&gt;=$B$4,SUMIFS('João Pullig'!$E$7:$E$385,'João Pullig'!$L$7:$L$385,"Finalizado",'João Pullig'!$M$7:$M$385,"&gt;="&amp;DATE($B$3,2,1),'João Pullig'!$M$7:$M$385,"&lt;"&amp;DATE($B$3,3,1))+SUMIFS(HISTÓRICO!$F$5:$F$268,HISTÓRICO!$A$5:$A$268,"*João Pullig*",HISTÓRICO!$M$5:$M$268,"Finalizado",HISTÓRICO!$N$5:$N$268,"&gt;="&amp;DATE($B$3,2,1),HISTÓRICO!$N$5:$N$268,"&lt;"&amp;DATE($B$3,3,1)),SUMIFS('João Pullig'!$E$7:$E$385,'João Pullig'!$L$7:$L$385,"Aprovado",'João Pullig'!$M$7:$M$385,"&gt;="&amp;DATE($B$3,2,1),'João Pullig'!$M$7:$M$385,"&lt;"&amp;DATE($B$3,3,1)))</f>
        <v>0</v>
      </c>
      <c r="D18" s="35">
        <f>IF(DATE($B$3,3,1)&gt;=$B$4,SUMIFS('João Pullig'!$E$7:$E$385,'João Pullig'!$L$7:$L$385,"Finalizado",'João Pullig'!$M$7:$M$385,"&gt;="&amp;DATE($B$3,3,1),'João Pullig'!$M$7:$M$385,"&lt;"&amp;DATE($B$3,4,1))+SUMIFS(HISTÓRICO!$F$5:$F$268,HISTÓRICO!$A$5:$A$268,"*João Pullig*",HISTÓRICO!$M$5:$M$268,"Finalizado",HISTÓRICO!$N$5:$N$268,"&gt;="&amp;DATE($B$3,3,1),HISTÓRICO!$N$5:$N$268,"&lt;"&amp;DATE($B$3,4,1)),SUMIFS('João Pullig'!$E$7:$E$385,'João Pullig'!$L$7:$L$385,"Aprovado",'João Pullig'!$M$7:$M$385,"&gt;="&amp;DATE($B$3,3,1),'João Pullig'!$M$7:$M$385,"&lt;"&amp;DATE($B$3,4,1)))</f>
        <v>0</v>
      </c>
      <c r="E18" s="35">
        <f>IF(DATE($B$3,4,1)&gt;=$B$4,SUMIFS('João Pullig'!$E$7:$E$385,'João Pullig'!$L$7:$L$385,"Finalizado",'João Pullig'!$M$7:$M$385,"&gt;="&amp;DATE($B$3,4,1),'João Pullig'!$M$7:$M$385,"&lt;"&amp;DATE($B$3,5,1))+SUMIFS(HISTÓRICO!$F$5:$F$268,HISTÓRICO!$A$5:$A$268,"*João Pullig*",HISTÓRICO!$M$5:$M$268,"Finalizado",HISTÓRICO!$N$5:$N$268,"&gt;="&amp;DATE($B$3,4,1),HISTÓRICO!$N$5:$N$268,"&lt;"&amp;DATE($B$3,5,1)),SUMIFS('João Pullig'!$E$7:$E$385,'João Pullig'!$L$7:$L$385,"Aprovado",'João Pullig'!$M$7:$M$385,"&gt;="&amp;DATE($B$3,4,1),'João Pullig'!$M$7:$M$385,"&lt;"&amp;DATE($B$3,5,1)))</f>
        <v>0</v>
      </c>
      <c r="F18" s="35">
        <f>IF(DATE($B$3,5,1)&gt;=$B$4,SUMIFS('João Pullig'!$E$7:$E$385,'João Pullig'!$L$7:$L$385,"Finalizado",'João Pullig'!$M$7:$M$385,"&gt;="&amp;DATE($B$3,5,1),'João Pullig'!$M$7:$M$385,"&lt;"&amp;DATE($B$3,6,1))+SUMIFS(HISTÓRICO!$F$5:$F$268,HISTÓRICO!$A$5:$A$268,"*João Pullig*",HISTÓRICO!$M$5:$M$268,"Finalizado",HISTÓRICO!$N$5:$N$268,"&gt;="&amp;DATE($B$3,5,1),HISTÓRICO!$N$5:$N$268,"&lt;"&amp;DATE($B$3,6,1)),SUMIFS('João Pullig'!$E$7:$E$385,'João Pullig'!$L$7:$L$385,"Aprovado",'João Pullig'!$M$7:$M$385,"&gt;="&amp;DATE($B$3,5,1),'João Pullig'!$M$7:$M$385,"&lt;"&amp;DATE($B$3,6,1)))</f>
        <v>0</v>
      </c>
      <c r="G18" s="35">
        <f>IF(DATE($B$3,6,1)&gt;=$B$4,SUMIFS('João Pullig'!$E$7:$E$385,'João Pullig'!$L$7:$L$385,"Finalizado",'João Pullig'!$M$7:$M$385,"&gt;="&amp;DATE($B$3,6,1),'João Pullig'!$M$7:$M$385,"&lt;"&amp;DATE($B$3,7,1))+SUMIFS(HISTÓRICO!$F$5:$F$268,HISTÓRICO!$A$5:$A$268,"*João Pullig*",HISTÓRICO!$M$5:$M$268,"Finalizado",HISTÓRICO!$N$5:$N$268,"&gt;="&amp;DATE($B$3,6,1),HISTÓRICO!$N$5:$N$268,"&lt;"&amp;DATE($B$3,7,1)),SUMIFS('João Pullig'!$E$7:$E$385,'João Pullig'!$L$7:$L$385,"Aprovado",'João Pullig'!$M$7:$M$385,"&gt;="&amp;DATE($B$3,6,1),'João Pullig'!$M$7:$M$385,"&lt;"&amp;DATE($B$3,7,1)))</f>
        <v>0</v>
      </c>
      <c r="H18" s="35">
        <f>IF(DATE($B$3,7,1)&gt;=$B$4,SUMIFS('João Pullig'!$E$7:$E$385,'João Pullig'!$L$7:$L$385,"Finalizado",'João Pullig'!$M$7:$M$385,"&gt;="&amp;DATE($B$3,7,1),'João Pullig'!$M$7:$M$385,"&lt;"&amp;DATE($B$3,8,1))+SUMIFS(HISTÓRICO!$F$5:$F$268,HISTÓRICO!$A$5:$A$268,"*João Pullig*",HISTÓRICO!$M$5:$M$268,"Finalizado",HISTÓRICO!$N$5:$N$268,"&gt;="&amp;DATE($B$3,7,1),HISTÓRICO!$N$5:$N$268,"&lt;"&amp;DATE($B$3,8,1)),SUMIFS('João Pullig'!$E$7:$E$385,'João Pullig'!$L$7:$L$385,"Aprovado",'João Pullig'!$M$7:$M$385,"&gt;="&amp;DATE($B$3,7,1),'João Pullig'!$M$7:$M$385,"&lt;"&amp;DATE($B$3,8,1)))</f>
        <v>20000</v>
      </c>
      <c r="I18" s="35">
        <v>6000</v>
      </c>
      <c r="J18" s="35">
        <f>IF(DATE($B$3,9,1)&gt;=$B$4,SUMIFS('João Pullig'!$E$7:$E$385,'João Pullig'!$L$7:$L$385,"Finalizado",'João Pullig'!$M$7:$M$385,"&gt;="&amp;DATE($B$3,9,1),'João Pullig'!$M$7:$M$385,"&lt;"&amp;DATE($B$3,10,1))+SUMIFS(HISTÓRICO!$F$5:$F$268,HISTÓRICO!$A$5:$A$268,"*João Pullig*",HISTÓRICO!$M$5:$M$268,"Finalizado",HISTÓRICO!$N$5:$N$268,"&gt;="&amp;DATE($B$3,9,1),HISTÓRICO!$N$5:$N$268,"&lt;"&amp;DATE($B$3,10,1)),SUMIFS('João Pullig'!$E$7:$E$385,'João Pullig'!$L$7:$L$385,"Aprovado",'João Pullig'!$M$7:$M$385,"&gt;="&amp;DATE($B$3,9,1),'João Pullig'!$M$7:$M$385,"&lt;"&amp;DATE($B$3,10,1)))</f>
        <v>6000</v>
      </c>
      <c r="K18" s="35">
        <f>IF(DATE($B$3,10,1)&gt;=$B$4,SUMIFS('João Pullig'!$E$7:$E$385,'João Pullig'!$L$7:$L$385,"Finalizado",'João Pullig'!$M$7:$M$385,"&gt;="&amp;DATE($B$3,10,1),'João Pullig'!$M$7:$M$385,"&lt;"&amp;DATE($B$3,11,1))+SUMIFS(HISTÓRICO!$F$5:$F$268,HISTÓRICO!$A$5:$A$268,"*João Pullig*",HISTÓRICO!$M$5:$M$268,"Finalizado",HISTÓRICO!$N$5:$N$268,"&gt;="&amp;DATE($B$3,10,1),HISTÓRICO!$N$5:$N$268,"&lt;"&amp;DATE($B$3,11,1)),SUMIFS('João Pullig'!$E$7:$E$385,'João Pullig'!$L$7:$L$385,"Aprovado",'João Pullig'!$M$7:$M$385,"&gt;="&amp;DATE($B$3,10,1),'João Pullig'!$M$7:$M$385,"&lt;"&amp;DATE($B$3,11,1)))</f>
        <v>0</v>
      </c>
      <c r="L18" s="35">
        <f>IF(DATE($B$3,11,1)&gt;=$B$4,SUMIFS('João Pullig'!$E$7:$E$385,'João Pullig'!$L$7:$L$385,"Finalizado",'João Pullig'!$M$7:$M$385,"&gt;="&amp;DATE($B$3,11,1),'João Pullig'!$M$7:$M$385,"&lt;"&amp;DATE($B$3,12,1))+SUMIFS(HISTÓRICO!$F$5:$F$268,HISTÓRICO!$A$5:$A$268,"*João Pullig*",HISTÓRICO!$M$5:$M$268,"Finalizado",HISTÓRICO!$N$5:$N$268,"&gt;="&amp;DATE($B$3,11,1),HISTÓRICO!$N$5:$N$268,"&lt;"&amp;DATE($B$3,12,1)),SUMIFS('João Pullig'!$E$7:$E$385,'João Pullig'!$L$7:$L$385,"Aprovado",'João Pullig'!$M$7:$M$385,"&gt;="&amp;DATE($B$3,11,1),'João Pullig'!$M$7:$M$385,"&lt;"&amp;DATE($B$3,12,1)))</f>
        <v>0</v>
      </c>
      <c r="M18" s="35">
        <f>IF(DATE($B$3,12,1)&gt;=$B$4,SUMIFS('João Pullig'!$E$7:$E$385,'João Pullig'!$L$7:$L$385,"Finalizado",'João Pullig'!$M$7:$M$385,"&gt;="&amp;DATE($B$3,12,1),'João Pullig'!$M$7:$M$385,"&lt;"&amp;DATE($B$3,13,1))+SUMIFS(HISTÓRICO!$F$5:$F$268,HISTÓRICO!$A$5:$A$268,"*João Pullig*",HISTÓRICO!$M$5:$M$268,"Finalizado",HISTÓRICO!$N$5:$N$268,"&gt;="&amp;DATE($B$3,12,1),HISTÓRICO!$N$5:$N$268,"&lt;"&amp;DATE($B$3,13,1)),SUMIFS('João Pullig'!$E$7:$E$385,'João Pullig'!$L$7:$L$385,"Aprovado",'João Pullig'!$M$7:$M$385,"&gt;="&amp;DATE($B$3,12,1),'João Pullig'!$M$7:$M$385,"&lt;"&amp;DATE($B$3,13,1)))</f>
        <v>0</v>
      </c>
      <c r="N18" s="36">
        <f>SUM(B18:M18)</f>
        <v>32000</v>
      </c>
      <c r="O18" s="117"/>
      <c r="P18" s="37">
        <f>SUMIFS('João Pullig'!$E$7:$E$385,'João Pullig'!$L$7:$L$385,"Aprovado",'João Pullig'!$M$7:$M$385,"")+SUMIFS('João Pullig'!$E$7:$E$385,'João Pullig'!$L$7:$L$385,"Finalizado",'João Pullig'!$M$7:$M$385,"")+SUMIFS(HISTÓRICO!$F$5:$F$268,HISTÓRICO!$A$5:$A$268,"*João Pullig*",HISTÓRICO!$M$5:$M$268,"Aprovado",HISTÓRICO!$N$5:$N$268,"")+SUMIFS(HISTÓRICO!$F$5:$F$268,HISTÓRICO!$A$5:$A$268,"*João Pullig*",HISTÓRICO!$M$5:$M$268,"Finalizado",HISTÓRICO!$N$5:$N$268,"")</f>
        <v>65000</v>
      </c>
    </row>
    <row r="19" spans="1:16">
      <c r="A19" s="38" t="s">
        <v>397</v>
      </c>
      <c r="B19" s="39">
        <f t="shared" ref="B19:N19" si="2">IF(N(B17)=0,"",B18/B17)</f>
        <v>0</v>
      </c>
      <c r="C19" s="39">
        <f t="shared" si="2"/>
        <v>0</v>
      </c>
      <c r="D19" s="39">
        <f t="shared" si="2"/>
        <v>0</v>
      </c>
      <c r="E19" s="39">
        <f t="shared" si="2"/>
        <v>0</v>
      </c>
      <c r="F19" s="39">
        <f t="shared" si="2"/>
        <v>0</v>
      </c>
      <c r="G19" s="39">
        <f t="shared" si="2"/>
        <v>0</v>
      </c>
      <c r="H19" s="39">
        <f t="shared" si="2"/>
        <v>0.76923076923076927</v>
      </c>
      <c r="I19" s="39">
        <f t="shared" si="2"/>
        <v>0.2</v>
      </c>
      <c r="J19" s="39">
        <f t="shared" si="2"/>
        <v>0.23076923076923078</v>
      </c>
      <c r="K19" s="39">
        <f t="shared" si="2"/>
        <v>0</v>
      </c>
      <c r="L19" s="39">
        <f t="shared" si="2"/>
        <v>0</v>
      </c>
      <c r="M19" s="39">
        <f t="shared" si="2"/>
        <v>0</v>
      </c>
      <c r="N19" s="40">
        <f t="shared" si="2"/>
        <v>0.1095890410958904</v>
      </c>
      <c r="O19" s="41" t="str">
        <f>IF(N(N17)=0,"sem meta",IF(N(N18)=0,"nada aprovado",IF(N18/N17&gt;=1,"na meta",IF(N18/N17&gt;=0.7,"perto","abaixo"))))</f>
        <v>abaixo</v>
      </c>
      <c r="P19" s="117"/>
    </row>
    <row r="21" spans="1:16">
      <c r="A21" s="29" t="s">
        <v>400</v>
      </c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</row>
    <row r="22" spans="1:16">
      <c r="A22" s="31" t="s">
        <v>395</v>
      </c>
      <c r="B22" s="42">
        <v>20000</v>
      </c>
      <c r="C22" s="42">
        <v>23000</v>
      </c>
      <c r="D22" s="42">
        <v>26000</v>
      </c>
      <c r="E22" s="42">
        <v>30000</v>
      </c>
      <c r="F22" s="42">
        <v>25000</v>
      </c>
      <c r="G22" s="42">
        <v>23000</v>
      </c>
      <c r="H22" s="42">
        <v>26000</v>
      </c>
      <c r="I22" s="42">
        <v>30000</v>
      </c>
      <c r="J22" s="42">
        <v>26000</v>
      </c>
      <c r="K22" s="42">
        <v>25000</v>
      </c>
      <c r="L22" s="42">
        <v>20000</v>
      </c>
      <c r="M22" s="42">
        <v>18000</v>
      </c>
      <c r="N22" s="33">
        <f>SUM(B22:M22)</f>
        <v>292000</v>
      </c>
      <c r="O22" s="117"/>
      <c r="P22" s="117"/>
    </row>
    <row r="23" spans="1:16">
      <c r="A23" s="34" t="s">
        <v>396</v>
      </c>
      <c r="B23" s="35">
        <v>12240</v>
      </c>
      <c r="C23" s="35">
        <v>0</v>
      </c>
      <c r="D23" s="35">
        <v>12500</v>
      </c>
      <c r="E23" s="35">
        <v>10900</v>
      </c>
      <c r="F23" s="35">
        <v>1906</v>
      </c>
      <c r="G23" s="35">
        <v>8000</v>
      </c>
      <c r="H23" s="35">
        <v>7042.58</v>
      </c>
      <c r="I23" s="35">
        <f>IF(DATE($B$3,8,1)&gt;=$B$4,SUMIFS('Kaio Dias'!$E$7:$E$374,'Kaio Dias'!$L$7:$L$374,"Finalizado",'Kaio Dias'!$M$7:$M$374,"&gt;="&amp;DATE($B$3,8,1),'Kaio Dias'!$M$7:$M$374,"&lt;"&amp;DATE($B$3,9,1))+SUMIFS(HISTÓRICO!$F$5:$F$268,HISTÓRICO!$A$5:$A$268,"*Kaio Dias*",HISTÓRICO!$M$5:$M$268,"Finalizado",HISTÓRICO!$N$5:$N$268,"&gt;="&amp;DATE($B$3,8,1),HISTÓRICO!$N$5:$N$268,"&lt;"&amp;DATE($B$3,9,1)),SUMIFS('Kaio Dias'!$E$7:$E$374,'Kaio Dias'!$L$7:$L$374,"Aprovado",'Kaio Dias'!$M$7:$M$374,"&gt;="&amp;DATE($B$3,8,1),'Kaio Dias'!$M$7:$M$374,"&lt;"&amp;DATE($B$3,9,1)))</f>
        <v>37204.5</v>
      </c>
      <c r="J23" s="35">
        <f>IF(DATE($B$3,9,1)&gt;=$B$4,SUMIFS('Kaio Dias'!$E$7:$E$374,'Kaio Dias'!$L$7:$L$374,"Finalizado",'Kaio Dias'!$M$7:$M$374,"&gt;="&amp;DATE($B$3,9,1),'Kaio Dias'!$M$7:$M$374,"&lt;"&amp;DATE($B$3,10,1))+SUMIFS(HISTÓRICO!$F$5:$F$268,HISTÓRICO!$A$5:$A$268,"*Kaio Dias*",HISTÓRICO!$M$5:$M$268,"Finalizado",HISTÓRICO!$N$5:$N$268,"&gt;="&amp;DATE($B$3,9,1),HISTÓRICO!$N$5:$N$268,"&lt;"&amp;DATE($B$3,10,1)),SUMIFS('Kaio Dias'!$E$7:$E$374,'Kaio Dias'!$L$7:$L$374,"Aprovado",'Kaio Dias'!$M$7:$M$374,"&gt;="&amp;DATE($B$3,9,1),'Kaio Dias'!$M$7:$M$374,"&lt;"&amp;DATE($B$3,10,1)))</f>
        <v>0</v>
      </c>
      <c r="K23" s="35">
        <f>IF(DATE($B$3,10,1)&gt;=$B$4,SUMIFS('Kaio Dias'!$E$7:$E$374,'Kaio Dias'!$L$7:$L$374,"Finalizado",'Kaio Dias'!$M$7:$M$374,"&gt;="&amp;DATE($B$3,10,1),'Kaio Dias'!$M$7:$M$374,"&lt;"&amp;DATE($B$3,11,1))+SUMIFS(HISTÓRICO!$F$5:$F$268,HISTÓRICO!$A$5:$A$268,"*Kaio Dias*",HISTÓRICO!$M$5:$M$268,"Finalizado",HISTÓRICO!$N$5:$N$268,"&gt;="&amp;DATE($B$3,10,1),HISTÓRICO!$N$5:$N$268,"&lt;"&amp;DATE($B$3,11,1)),SUMIFS('Kaio Dias'!$E$7:$E$374,'Kaio Dias'!$L$7:$L$374,"Aprovado",'Kaio Dias'!$M$7:$M$374,"&gt;="&amp;DATE($B$3,10,1),'Kaio Dias'!$M$7:$M$374,"&lt;"&amp;DATE($B$3,11,1)))</f>
        <v>0</v>
      </c>
      <c r="L23" s="35">
        <f>IF(DATE($B$3,11,1)&gt;=$B$4,SUMIFS('Kaio Dias'!$E$7:$E$374,'Kaio Dias'!$L$7:$L$374,"Finalizado",'Kaio Dias'!$M$7:$M$374,"&gt;="&amp;DATE($B$3,11,1),'Kaio Dias'!$M$7:$M$374,"&lt;"&amp;DATE($B$3,12,1))+SUMIFS(HISTÓRICO!$F$5:$F$268,HISTÓRICO!$A$5:$A$268,"*Kaio Dias*",HISTÓRICO!$M$5:$M$268,"Finalizado",HISTÓRICO!$N$5:$N$268,"&gt;="&amp;DATE($B$3,11,1),HISTÓRICO!$N$5:$N$268,"&lt;"&amp;DATE($B$3,12,1)),SUMIFS('Kaio Dias'!$E$7:$E$374,'Kaio Dias'!$L$7:$L$374,"Aprovado",'Kaio Dias'!$M$7:$M$374,"&gt;="&amp;DATE($B$3,11,1),'Kaio Dias'!$M$7:$M$374,"&lt;"&amp;DATE($B$3,12,1)))</f>
        <v>0</v>
      </c>
      <c r="M23" s="35">
        <f>IF(DATE($B$3,12,1)&gt;=$B$4,SUMIFS('Kaio Dias'!$E$7:$E$374,'Kaio Dias'!$L$7:$L$374,"Finalizado",'Kaio Dias'!$M$7:$M$374,"&gt;="&amp;DATE($B$3,12,1),'Kaio Dias'!$M$7:$M$374,"&lt;"&amp;DATE($B$3,13,1))+SUMIFS(HISTÓRICO!$F$5:$F$268,HISTÓRICO!$A$5:$A$268,"*Kaio Dias*",HISTÓRICO!$M$5:$M$268,"Finalizado",HISTÓRICO!$N$5:$N$268,"&gt;="&amp;DATE($B$3,12,1),HISTÓRICO!$N$5:$N$268,"&lt;"&amp;DATE($B$3,13,1)),SUMIFS('Kaio Dias'!$E$7:$E$374,'Kaio Dias'!$L$7:$L$374,"Aprovado",'Kaio Dias'!$M$7:$M$374,"&gt;="&amp;DATE($B$3,12,1),'Kaio Dias'!$M$7:$M$374,"&lt;"&amp;DATE($B$3,13,1)))</f>
        <v>0</v>
      </c>
      <c r="N23" s="36">
        <f>SUM(B23:M23)</f>
        <v>89793.08</v>
      </c>
      <c r="O23" s="117"/>
      <c r="P23" s="37">
        <f>SUMIFS('Kaio Dias'!$E$7:$E$374,'Kaio Dias'!$L$7:$L$374,"Aprovado",'Kaio Dias'!$M$7:$M$374,"")+SUMIFS('Kaio Dias'!$E$7:$E$374,'Kaio Dias'!$L$7:$L$374,"Finalizado",'Kaio Dias'!$M$7:$M$374,"")+SUMIFS(HISTÓRICO!$F$5:$F$268,HISTÓRICO!$A$5:$A$268,"*Kaio Dias*",HISTÓRICO!$M$5:$M$268,"Aprovado",HISTÓRICO!$N$5:$N$268,"")+SUMIFS(HISTÓRICO!$F$5:$F$268,HISTÓRICO!$A$5:$A$268,"*Kaio Dias*",HISTÓRICO!$M$5:$M$268,"Finalizado",HISTÓRICO!$N$5:$N$268,"")</f>
        <v>19431.05</v>
      </c>
    </row>
    <row r="24" spans="1:16">
      <c r="A24" s="38" t="s">
        <v>397</v>
      </c>
      <c r="B24" s="39">
        <f t="shared" ref="B24:N24" si="3">IF(N(B22)=0,"",B23/B22)</f>
        <v>0.61199999999999999</v>
      </c>
      <c r="C24" s="39">
        <f t="shared" si="3"/>
        <v>0</v>
      </c>
      <c r="D24" s="39">
        <f t="shared" si="3"/>
        <v>0.48076923076923078</v>
      </c>
      <c r="E24" s="39">
        <f t="shared" si="3"/>
        <v>0.36333333333333334</v>
      </c>
      <c r="F24" s="39">
        <f t="shared" si="3"/>
        <v>7.6240000000000002E-2</v>
      </c>
      <c r="G24" s="39">
        <f t="shared" si="3"/>
        <v>0.34782608695652173</v>
      </c>
      <c r="H24" s="39">
        <f t="shared" si="3"/>
        <v>0.27086846153846156</v>
      </c>
      <c r="I24" s="39">
        <f t="shared" si="3"/>
        <v>1.2401500000000001</v>
      </c>
      <c r="J24" s="39">
        <f t="shared" si="3"/>
        <v>0</v>
      </c>
      <c r="K24" s="39">
        <f t="shared" si="3"/>
        <v>0</v>
      </c>
      <c r="L24" s="39">
        <f t="shared" si="3"/>
        <v>0</v>
      </c>
      <c r="M24" s="39">
        <f t="shared" si="3"/>
        <v>0</v>
      </c>
      <c r="N24" s="40">
        <f t="shared" si="3"/>
        <v>0.30751054794520549</v>
      </c>
      <c r="O24" s="41" t="str">
        <f>IF(N(N22)=0,"sem meta",IF(N(N23)=0,"nada aprovado",IF(N23/N22&gt;=1,"na meta",IF(N23/N22&gt;=0.7,"perto","abaixo"))))</f>
        <v>abaixo</v>
      </c>
      <c r="P24" s="117"/>
    </row>
    <row r="26" spans="1:16">
      <c r="A26" s="29" t="s">
        <v>401</v>
      </c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</row>
    <row r="27" spans="1:16">
      <c r="A27" s="31" t="s">
        <v>395</v>
      </c>
      <c r="B27" s="42">
        <v>12000</v>
      </c>
      <c r="C27" s="42">
        <v>15000</v>
      </c>
      <c r="D27" s="42">
        <v>18000</v>
      </c>
      <c r="E27" s="42">
        <v>21000</v>
      </c>
      <c r="F27" s="42">
        <v>18000</v>
      </c>
      <c r="G27" s="42">
        <v>12000</v>
      </c>
      <c r="H27" s="42">
        <v>20000</v>
      </c>
      <c r="I27" s="42">
        <v>18000</v>
      </c>
      <c r="J27" s="42">
        <v>21000</v>
      </c>
      <c r="K27" s="42">
        <v>15000</v>
      </c>
      <c r="L27" s="42">
        <v>12000</v>
      </c>
      <c r="M27" s="42">
        <v>10000</v>
      </c>
      <c r="N27" s="33">
        <f>SUM(B27:M27)</f>
        <v>192000</v>
      </c>
      <c r="O27" s="117"/>
      <c r="P27" s="117"/>
    </row>
    <row r="28" spans="1:16">
      <c r="A28" s="34" t="s">
        <v>396</v>
      </c>
      <c r="B28" s="35">
        <v>0</v>
      </c>
      <c r="C28" s="35">
        <v>2000</v>
      </c>
      <c r="D28" s="35">
        <v>14000</v>
      </c>
      <c r="E28" s="35">
        <v>6200.89</v>
      </c>
      <c r="F28" s="35">
        <v>3531</v>
      </c>
      <c r="G28" s="35">
        <v>5000</v>
      </c>
      <c r="H28" s="35">
        <v>6000</v>
      </c>
      <c r="I28" s="35">
        <f>IF(DATE($B$3,8,1)&gt;=$B$4,SUMIFS('Pablo Ruan'!$E$7:$E$382,'Pablo Ruan'!$L$7:$L$382,"Finalizado",'Pablo Ruan'!$M$7:$M$382,"&gt;="&amp;DATE($B$3,8,1),'Pablo Ruan'!$M$7:$M$382,"&lt;"&amp;DATE($B$3,9,1))+SUMIFS(HISTÓRICO!$F$5:$F$268,HISTÓRICO!$A$5:$A$268,"*Pablo Ruan*",HISTÓRICO!$M$5:$M$268,"Finalizado",HISTÓRICO!$N$5:$N$268,"&gt;="&amp;DATE($B$3,8,1),HISTÓRICO!$N$5:$N$268,"&lt;"&amp;DATE($B$3,9,1)),SUMIFS('Pablo Ruan'!$E$7:$E$382,'Pablo Ruan'!$L$7:$L$382,"Aprovado",'Pablo Ruan'!$M$7:$M$382,"&gt;="&amp;DATE($B$3,8,1),'Pablo Ruan'!$M$7:$M$382,"&lt;"&amp;DATE($B$3,9,1)))</f>
        <v>0</v>
      </c>
      <c r="J28" s="35">
        <f>IF(DATE($B$3,9,1)&gt;=$B$4,SUMIFS('Pablo Ruan'!$E$7:$E$382,'Pablo Ruan'!$L$7:$L$382,"Finalizado",'Pablo Ruan'!$M$7:$M$382,"&gt;="&amp;DATE($B$3,9,1),'Pablo Ruan'!$M$7:$M$382,"&lt;"&amp;DATE($B$3,10,1))+SUMIFS(HISTÓRICO!$F$5:$F$268,HISTÓRICO!$A$5:$A$268,"*Pablo Ruan*",HISTÓRICO!$M$5:$M$268,"Finalizado",HISTÓRICO!$N$5:$N$268,"&gt;="&amp;DATE($B$3,9,1),HISTÓRICO!$N$5:$N$268,"&lt;"&amp;DATE($B$3,10,1)),SUMIFS('Pablo Ruan'!$E$7:$E$382,'Pablo Ruan'!$L$7:$L$382,"Aprovado",'Pablo Ruan'!$M$7:$M$382,"&gt;="&amp;DATE($B$3,9,1),'Pablo Ruan'!$M$7:$M$382,"&lt;"&amp;DATE($B$3,10,1)))</f>
        <v>0</v>
      </c>
      <c r="K28" s="35">
        <f>IF(DATE($B$3,10,1)&gt;=$B$4,SUMIFS('Pablo Ruan'!$E$7:$E$382,'Pablo Ruan'!$L$7:$L$382,"Finalizado",'Pablo Ruan'!$M$7:$M$382,"&gt;="&amp;DATE($B$3,10,1),'Pablo Ruan'!$M$7:$M$382,"&lt;"&amp;DATE($B$3,11,1))+SUMIFS(HISTÓRICO!$F$5:$F$268,HISTÓRICO!$A$5:$A$268,"*Pablo Ruan*",HISTÓRICO!$M$5:$M$268,"Finalizado",HISTÓRICO!$N$5:$N$268,"&gt;="&amp;DATE($B$3,10,1),HISTÓRICO!$N$5:$N$268,"&lt;"&amp;DATE($B$3,11,1)),SUMIFS('Pablo Ruan'!$E$7:$E$382,'Pablo Ruan'!$L$7:$L$382,"Aprovado",'Pablo Ruan'!$M$7:$M$382,"&gt;="&amp;DATE($B$3,10,1),'Pablo Ruan'!$M$7:$M$382,"&lt;"&amp;DATE($B$3,11,1)))</f>
        <v>0</v>
      </c>
      <c r="L28" s="35">
        <f>IF(DATE($B$3,11,1)&gt;=$B$4,SUMIFS('Pablo Ruan'!$E$7:$E$382,'Pablo Ruan'!$L$7:$L$382,"Finalizado",'Pablo Ruan'!$M$7:$M$382,"&gt;="&amp;DATE($B$3,11,1),'Pablo Ruan'!$M$7:$M$382,"&lt;"&amp;DATE($B$3,12,1))+SUMIFS(HISTÓRICO!$F$5:$F$268,HISTÓRICO!$A$5:$A$268,"*Pablo Ruan*",HISTÓRICO!$M$5:$M$268,"Finalizado",HISTÓRICO!$N$5:$N$268,"&gt;="&amp;DATE($B$3,11,1),HISTÓRICO!$N$5:$N$268,"&lt;"&amp;DATE($B$3,12,1)),SUMIFS('Pablo Ruan'!$E$7:$E$382,'Pablo Ruan'!$L$7:$L$382,"Aprovado",'Pablo Ruan'!$M$7:$M$382,"&gt;="&amp;DATE($B$3,11,1),'Pablo Ruan'!$M$7:$M$382,"&lt;"&amp;DATE($B$3,12,1)))</f>
        <v>0</v>
      </c>
      <c r="M28" s="35">
        <f>IF(DATE($B$3,12,1)&gt;=$B$4,SUMIFS('Pablo Ruan'!$E$7:$E$382,'Pablo Ruan'!$L$7:$L$382,"Finalizado",'Pablo Ruan'!$M$7:$M$382,"&gt;="&amp;DATE($B$3,12,1),'Pablo Ruan'!$M$7:$M$382,"&lt;"&amp;DATE($B$3,13,1))+SUMIFS(HISTÓRICO!$F$5:$F$268,HISTÓRICO!$A$5:$A$268,"*Pablo Ruan*",HISTÓRICO!$M$5:$M$268,"Finalizado",HISTÓRICO!$N$5:$N$268,"&gt;="&amp;DATE($B$3,12,1),HISTÓRICO!$N$5:$N$268,"&lt;"&amp;DATE($B$3,13,1)),SUMIFS('Pablo Ruan'!$E$7:$E$382,'Pablo Ruan'!$L$7:$L$382,"Aprovado",'Pablo Ruan'!$M$7:$M$382,"&gt;="&amp;DATE($B$3,12,1),'Pablo Ruan'!$M$7:$M$382,"&lt;"&amp;DATE($B$3,13,1)))</f>
        <v>0</v>
      </c>
      <c r="N28" s="36">
        <f>SUM(B28:M28)</f>
        <v>36731.89</v>
      </c>
      <c r="O28" s="117"/>
      <c r="P28" s="37">
        <f>SUMIFS('Pablo Ruan'!$E$7:$E$382,'Pablo Ruan'!$L$7:$L$382,"Aprovado",'Pablo Ruan'!$M$7:$M$382,"")+SUMIFS('Pablo Ruan'!$E$7:$E$382,'Pablo Ruan'!$L$7:$L$382,"Finalizado",'Pablo Ruan'!$M$7:$M$382,"")+SUMIFS(HISTÓRICO!$F$5:$F$268,HISTÓRICO!$A$5:$A$268,"*Pablo Ruan*",HISTÓRICO!$M$5:$M$268,"Aprovado",HISTÓRICO!$N$5:$N$268,"")+SUMIFS(HISTÓRICO!$F$5:$F$268,HISTÓRICO!$A$5:$A$268,"*Pablo Ruan*",HISTÓRICO!$M$5:$M$268,"Finalizado",HISTÓRICO!$N$5:$N$268,"")</f>
        <v>63500</v>
      </c>
    </row>
    <row r="29" spans="1:16">
      <c r="A29" s="38" t="s">
        <v>397</v>
      </c>
      <c r="B29" s="39">
        <f t="shared" ref="B29:N29" si="4">IF(N(B27)=0,"",B28/B27)</f>
        <v>0</v>
      </c>
      <c r="C29" s="39">
        <f t="shared" si="4"/>
        <v>0.13333333333333333</v>
      </c>
      <c r="D29" s="39">
        <f t="shared" si="4"/>
        <v>0.77777777777777779</v>
      </c>
      <c r="E29" s="39">
        <f t="shared" si="4"/>
        <v>0.2952804761904762</v>
      </c>
      <c r="F29" s="39">
        <f t="shared" si="4"/>
        <v>0.19616666666666666</v>
      </c>
      <c r="G29" s="39">
        <f t="shared" si="4"/>
        <v>0.41666666666666669</v>
      </c>
      <c r="H29" s="39">
        <f t="shared" si="4"/>
        <v>0.3</v>
      </c>
      <c r="I29" s="39">
        <f t="shared" si="4"/>
        <v>0</v>
      </c>
      <c r="J29" s="39">
        <f t="shared" si="4"/>
        <v>0</v>
      </c>
      <c r="K29" s="39">
        <f t="shared" si="4"/>
        <v>0</v>
      </c>
      <c r="L29" s="39">
        <f t="shared" si="4"/>
        <v>0</v>
      </c>
      <c r="M29" s="39">
        <f t="shared" si="4"/>
        <v>0</v>
      </c>
      <c r="N29" s="40">
        <f t="shared" si="4"/>
        <v>0.19131192708333333</v>
      </c>
      <c r="O29" s="41" t="str">
        <f>IF(N(N27)=0,"sem meta",IF(N(N28)=0,"nada aprovado",IF(N28/N27&gt;=1,"na meta",IF(N28/N27&gt;=0.7,"perto","abaixo"))))</f>
        <v>abaixo</v>
      </c>
      <c r="P29" s="117"/>
    </row>
    <row r="31" spans="1:16">
      <c r="A31" s="29" t="s">
        <v>402</v>
      </c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</row>
    <row r="32" spans="1:16">
      <c r="A32" s="31" t="s">
        <v>395</v>
      </c>
      <c r="B32" s="42">
        <v>20000</v>
      </c>
      <c r="C32" s="42">
        <v>23000</v>
      </c>
      <c r="D32" s="42">
        <v>26000</v>
      </c>
      <c r="E32" s="42">
        <v>30000</v>
      </c>
      <c r="F32" s="42">
        <v>25000</v>
      </c>
      <c r="G32" s="42">
        <v>23000</v>
      </c>
      <c r="H32" s="42">
        <v>26000</v>
      </c>
      <c r="I32" s="42">
        <v>30000</v>
      </c>
      <c r="J32" s="42">
        <v>26000</v>
      </c>
      <c r="K32" s="42">
        <v>25000</v>
      </c>
      <c r="L32" s="42">
        <v>20000</v>
      </c>
      <c r="M32" s="42">
        <v>18000</v>
      </c>
      <c r="N32" s="33">
        <f>SUM(B32:M32)</f>
        <v>292000</v>
      </c>
      <c r="O32" s="117"/>
      <c r="P32" s="117"/>
    </row>
    <row r="33" spans="1:16">
      <c r="A33" s="34" t="s">
        <v>396</v>
      </c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6"/>
      <c r="O33" s="117"/>
      <c r="P33" s="37"/>
    </row>
    <row r="34" spans="1:16">
      <c r="A34" s="38" t="s">
        <v>397</v>
      </c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40"/>
      <c r="O34" s="41"/>
      <c r="P34" s="117"/>
    </row>
    <row r="36" spans="1:16">
      <c r="A36" s="43" t="s">
        <v>403</v>
      </c>
      <c r="B36" s="21">
        <f t="shared" ref="B36:N36" si="5">B7+B12+B17+B22+B27+B32</f>
        <v>92000</v>
      </c>
      <c r="C36" s="21">
        <f t="shared" si="5"/>
        <v>107000</v>
      </c>
      <c r="D36" s="21">
        <f t="shared" si="5"/>
        <v>122000</v>
      </c>
      <c r="E36" s="21">
        <f t="shared" si="5"/>
        <v>141000</v>
      </c>
      <c r="F36" s="21">
        <f t="shared" si="5"/>
        <v>118000</v>
      </c>
      <c r="G36" s="21">
        <f t="shared" si="5"/>
        <v>104000</v>
      </c>
      <c r="H36" s="21">
        <f t="shared" si="5"/>
        <v>124000</v>
      </c>
      <c r="I36" s="21">
        <f t="shared" si="5"/>
        <v>138000</v>
      </c>
      <c r="J36" s="21">
        <f t="shared" si="5"/>
        <v>125000</v>
      </c>
      <c r="K36" s="21">
        <f t="shared" si="5"/>
        <v>115000</v>
      </c>
      <c r="L36" s="21">
        <f t="shared" si="5"/>
        <v>92000</v>
      </c>
      <c r="M36" s="21">
        <f t="shared" si="5"/>
        <v>82000</v>
      </c>
      <c r="N36" s="21">
        <f t="shared" si="5"/>
        <v>1360000</v>
      </c>
      <c r="O36" s="117"/>
      <c r="P36" s="117"/>
    </row>
    <row r="37" spans="1:16">
      <c r="A37" s="43" t="s">
        <v>404</v>
      </c>
      <c r="B37" s="21">
        <f t="shared" ref="B37:N37" si="6">B8+B13+B18+B23+B28+B33</f>
        <v>12240</v>
      </c>
      <c r="C37" s="21">
        <f t="shared" si="6"/>
        <v>2000</v>
      </c>
      <c r="D37" s="21">
        <f t="shared" si="6"/>
        <v>26500</v>
      </c>
      <c r="E37" s="21">
        <f t="shared" si="6"/>
        <v>17100.89</v>
      </c>
      <c r="F37" s="21">
        <f t="shared" si="6"/>
        <v>5437</v>
      </c>
      <c r="G37" s="21">
        <f t="shared" si="6"/>
        <v>13000</v>
      </c>
      <c r="H37" s="21">
        <f t="shared" si="6"/>
        <v>33042.58</v>
      </c>
      <c r="I37" s="21">
        <f t="shared" si="6"/>
        <v>58204.5</v>
      </c>
      <c r="J37" s="21">
        <f t="shared" si="6"/>
        <v>16500</v>
      </c>
      <c r="K37" s="21">
        <f t="shared" si="6"/>
        <v>0</v>
      </c>
      <c r="L37" s="21">
        <f t="shared" si="6"/>
        <v>0</v>
      </c>
      <c r="M37" s="21">
        <f t="shared" si="6"/>
        <v>0</v>
      </c>
      <c r="N37" s="21">
        <f t="shared" si="6"/>
        <v>184024.97000000003</v>
      </c>
      <c r="O37" s="117"/>
      <c r="P37" s="117"/>
    </row>
    <row r="39" spans="1:16">
      <c r="A39" s="23" t="s">
        <v>405</v>
      </c>
      <c r="B39" s="117"/>
      <c r="C39" s="117"/>
      <c r="D39" s="117"/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O39" s="117"/>
      <c r="P39" s="117"/>
    </row>
    <row r="40" spans="1:16">
      <c r="A40" s="25" t="s">
        <v>406</v>
      </c>
      <c r="B40" s="117"/>
      <c r="C40" s="117"/>
      <c r="D40" s="117"/>
      <c r="E40" s="117"/>
      <c r="F40" s="117"/>
      <c r="G40" s="117"/>
      <c r="H40" s="117"/>
      <c r="I40" s="117"/>
      <c r="J40" s="117"/>
      <c r="K40" s="117"/>
      <c r="L40" s="117"/>
      <c r="M40" s="117"/>
      <c r="N40" s="117"/>
      <c r="O40" s="117"/>
      <c r="P40" s="117"/>
    </row>
    <row r="41" spans="1:16">
      <c r="A41" s="25" t="s">
        <v>407</v>
      </c>
      <c r="B41" s="117"/>
      <c r="C41" s="117"/>
      <c r="D41" s="117"/>
      <c r="E41" s="117"/>
      <c r="F41" s="117"/>
      <c r="G41" s="117"/>
      <c r="H41" s="117"/>
      <c r="I41" s="117"/>
      <c r="J41" s="117"/>
      <c r="K41" s="117"/>
      <c r="L41" s="117"/>
      <c r="M41" s="117"/>
      <c r="N41" s="117"/>
      <c r="O41" s="117"/>
      <c r="P41" s="117"/>
    </row>
    <row r="42" spans="1:16">
      <c r="A42" s="25" t="s">
        <v>408</v>
      </c>
      <c r="B42" s="117"/>
      <c r="C42" s="117"/>
      <c r="D42" s="117"/>
      <c r="E42" s="117"/>
      <c r="F42" s="117"/>
      <c r="G42" s="117"/>
      <c r="H42" s="117"/>
      <c r="I42" s="117"/>
      <c r="J42" s="117"/>
      <c r="K42" s="117"/>
      <c r="L42" s="117"/>
      <c r="M42" s="117"/>
      <c r="N42" s="117"/>
      <c r="O42" s="117"/>
      <c r="P42" s="117"/>
    </row>
    <row r="43" spans="1:16">
      <c r="A43" s="25" t="s">
        <v>409</v>
      </c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</row>
    <row r="44" spans="1:16">
      <c r="A44" s="25" t="s">
        <v>410</v>
      </c>
      <c r="B44" s="117"/>
      <c r="C44" s="117"/>
      <c r="D44" s="117"/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117"/>
      <c r="P44" s="117"/>
    </row>
    <row r="45" spans="1:16">
      <c r="A45" s="25" t="s">
        <v>411</v>
      </c>
      <c r="B45" s="117"/>
      <c r="C45" s="117"/>
      <c r="D45" s="117"/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P45" s="117"/>
    </row>
    <row r="46" spans="1:16">
      <c r="A46" s="25" t="s">
        <v>412</v>
      </c>
      <c r="B46" s="117"/>
      <c r="C46" s="117"/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7"/>
    </row>
  </sheetData>
  <conditionalFormatting sqref="B9:N9">
    <cfRule type="cellIs" dxfId="17" priority="1" operator="greaterThanOrEqual">
      <formula>1</formula>
    </cfRule>
    <cfRule type="cellIs" dxfId="16" priority="2" operator="between">
      <formula>0.7</formula>
      <formula>0.9999</formula>
    </cfRule>
    <cfRule type="cellIs" dxfId="15" priority="3" operator="lessThan">
      <formula>0.7</formula>
    </cfRule>
  </conditionalFormatting>
  <conditionalFormatting sqref="B14:N14">
    <cfRule type="cellIs" dxfId="14" priority="4" operator="greaterThanOrEqual">
      <formula>1</formula>
    </cfRule>
    <cfRule type="cellIs" dxfId="13" priority="5" operator="between">
      <formula>0.7</formula>
      <formula>0.9999</formula>
    </cfRule>
    <cfRule type="cellIs" dxfId="12" priority="6" operator="lessThan">
      <formula>0.7</formula>
    </cfRule>
  </conditionalFormatting>
  <conditionalFormatting sqref="B19:N19">
    <cfRule type="cellIs" dxfId="11" priority="7" operator="greaterThanOrEqual">
      <formula>1</formula>
    </cfRule>
    <cfRule type="cellIs" dxfId="10" priority="8" operator="between">
      <formula>0.7</formula>
      <formula>0.9999</formula>
    </cfRule>
    <cfRule type="cellIs" dxfId="9" priority="9" operator="lessThan">
      <formula>0.7</formula>
    </cfRule>
  </conditionalFormatting>
  <conditionalFormatting sqref="B24:N24">
    <cfRule type="cellIs" dxfId="8" priority="10" operator="greaterThanOrEqual">
      <formula>1</formula>
    </cfRule>
    <cfRule type="cellIs" dxfId="7" priority="11" operator="between">
      <formula>0.7</formula>
      <formula>0.9999</formula>
    </cfRule>
    <cfRule type="cellIs" dxfId="6" priority="12" operator="lessThan">
      <formula>0.7</formula>
    </cfRule>
  </conditionalFormatting>
  <conditionalFormatting sqref="B29:N29">
    <cfRule type="cellIs" dxfId="5" priority="13" operator="greaterThanOrEqual">
      <formula>1</formula>
    </cfRule>
    <cfRule type="cellIs" dxfId="4" priority="14" operator="between">
      <formula>0.7</formula>
      <formula>0.9999</formula>
    </cfRule>
    <cfRule type="cellIs" dxfId="3" priority="15" operator="lessThan">
      <formula>0.7</formula>
    </cfRule>
  </conditionalFormatting>
  <conditionalFormatting sqref="B34:N34">
    <cfRule type="cellIs" dxfId="2" priority="16" operator="greaterThanOrEqual">
      <formula>1</formula>
    </cfRule>
    <cfRule type="cellIs" dxfId="1" priority="17" operator="between">
      <formula>0.7</formula>
      <formula>0.9999</formula>
    </cfRule>
    <cfRule type="cellIs" dxfId="0" priority="18" operator="lessThan">
      <formula>0.7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68"/>
  <sheetViews>
    <sheetView showGridLines="0" workbookViewId="0">
      <pane ySplit="4" topLeftCell="A20" activePane="bottomLeft" state="frozen"/>
      <selection pane="bottomLeft" activeCell="A40" sqref="A40"/>
    </sheetView>
  </sheetViews>
  <sheetFormatPr defaultRowHeight="14.45"/>
  <cols>
    <col min="1" max="1" width="20" customWidth="1"/>
    <col min="2" max="2" width="30" customWidth="1"/>
    <col min="3" max="3" width="26" customWidth="1"/>
    <col min="4" max="4" width="16" customWidth="1"/>
    <col min="5" max="5" width="9" customWidth="1"/>
    <col min="6" max="7" width="15" customWidth="1"/>
    <col min="8" max="8" width="7" customWidth="1"/>
    <col min="9" max="9" width="27" customWidth="1"/>
    <col min="10" max="10" width="19" customWidth="1"/>
    <col min="11" max="11" width="13" customWidth="1"/>
    <col min="12" max="12" width="18" customWidth="1"/>
    <col min="13" max="13" width="21" customWidth="1"/>
    <col min="14" max="14" width="14" customWidth="1"/>
    <col min="15" max="15" width="32" customWidth="1"/>
    <col min="16" max="16" width="42" customWidth="1"/>
    <col min="17" max="17" width="15" customWidth="1"/>
  </cols>
  <sheetData>
    <row r="1" spans="1:17" ht="24" customHeight="1">
      <c r="A1" s="1" t="s">
        <v>413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</row>
    <row r="2" spans="1:17" ht="14.1" customHeight="1">
      <c r="A2" s="2" t="s">
        <v>414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</row>
    <row r="4" spans="1:17" ht="27.95" customHeight="1">
      <c r="A4" s="44" t="s">
        <v>228</v>
      </c>
      <c r="B4" s="44" t="s">
        <v>0</v>
      </c>
      <c r="C4" s="44" t="s">
        <v>1</v>
      </c>
      <c r="D4" s="44" t="s">
        <v>2</v>
      </c>
      <c r="E4" s="44" t="s">
        <v>3</v>
      </c>
      <c r="F4" s="44" t="s">
        <v>4</v>
      </c>
      <c r="G4" s="44" t="s">
        <v>5</v>
      </c>
      <c r="H4" s="44" t="s">
        <v>6</v>
      </c>
      <c r="I4" s="44" t="s">
        <v>7</v>
      </c>
      <c r="J4" s="44" t="s">
        <v>8</v>
      </c>
      <c r="K4" s="44" t="s">
        <v>9</v>
      </c>
      <c r="L4" s="44" t="s">
        <v>10</v>
      </c>
      <c r="M4" s="44" t="s">
        <v>11</v>
      </c>
      <c r="N4" s="44" t="s">
        <v>12</v>
      </c>
      <c r="O4" s="44" t="s">
        <v>13</v>
      </c>
      <c r="P4" s="44" t="s">
        <v>14</v>
      </c>
      <c r="Q4" s="44" t="s">
        <v>230</v>
      </c>
    </row>
    <row r="5" spans="1:17">
      <c r="A5" s="45" t="s">
        <v>240</v>
      </c>
      <c r="B5" s="50" t="s">
        <v>74</v>
      </c>
      <c r="C5" s="50" t="s">
        <v>29</v>
      </c>
      <c r="D5" s="51">
        <v>800000</v>
      </c>
      <c r="E5" s="52">
        <v>0.03</v>
      </c>
      <c r="F5" s="46">
        <f t="shared" ref="F5:F39" si="0">E5*D5</f>
        <v>24000</v>
      </c>
      <c r="G5" s="50" t="s">
        <v>17</v>
      </c>
      <c r="H5" s="53">
        <v>1</v>
      </c>
      <c r="I5" s="50" t="s">
        <v>30</v>
      </c>
      <c r="J5" s="50" t="s">
        <v>19</v>
      </c>
      <c r="K5" s="54">
        <v>46224</v>
      </c>
      <c r="L5" s="50" t="s">
        <v>66</v>
      </c>
      <c r="M5" s="50" t="s">
        <v>174</v>
      </c>
      <c r="N5" s="54">
        <v>46224</v>
      </c>
      <c r="O5" s="50" t="s">
        <v>175</v>
      </c>
      <c r="P5" s="50" t="s">
        <v>415</v>
      </c>
      <c r="Q5" s="45" t="s">
        <v>174</v>
      </c>
    </row>
    <row r="6" spans="1:17">
      <c r="A6" s="50" t="s">
        <v>240</v>
      </c>
      <c r="B6" s="45" t="s">
        <v>70</v>
      </c>
      <c r="C6" s="45" t="s">
        <v>16</v>
      </c>
      <c r="D6" s="46">
        <v>300000</v>
      </c>
      <c r="E6" s="47">
        <v>0.03</v>
      </c>
      <c r="F6" s="46">
        <f t="shared" si="0"/>
        <v>9000</v>
      </c>
      <c r="G6" s="45" t="s">
        <v>48</v>
      </c>
      <c r="H6" s="48">
        <v>1</v>
      </c>
      <c r="I6" s="45" t="s">
        <v>44</v>
      </c>
      <c r="J6" s="45" t="s">
        <v>19</v>
      </c>
      <c r="K6" s="49">
        <v>46224</v>
      </c>
      <c r="L6" s="45" t="s">
        <v>66</v>
      </c>
      <c r="M6" s="45" t="s">
        <v>174</v>
      </c>
      <c r="N6" s="49">
        <v>46224</v>
      </c>
      <c r="O6" s="45" t="s">
        <v>233</v>
      </c>
      <c r="P6" s="45"/>
      <c r="Q6" s="50" t="s">
        <v>174</v>
      </c>
    </row>
    <row r="7" spans="1:17">
      <c r="A7" s="45" t="s">
        <v>240</v>
      </c>
      <c r="B7" s="50" t="s">
        <v>70</v>
      </c>
      <c r="C7" s="50" t="s">
        <v>29</v>
      </c>
      <c r="D7" s="51">
        <v>300000</v>
      </c>
      <c r="E7" s="52">
        <v>0.03</v>
      </c>
      <c r="F7" s="46">
        <f t="shared" si="0"/>
        <v>9000</v>
      </c>
      <c r="G7" s="50" t="s">
        <v>48</v>
      </c>
      <c r="H7" s="53">
        <v>1</v>
      </c>
      <c r="I7" s="50" t="s">
        <v>30</v>
      </c>
      <c r="J7" s="50" t="s">
        <v>19</v>
      </c>
      <c r="K7" s="54">
        <v>46223</v>
      </c>
      <c r="L7" s="50" t="s">
        <v>66</v>
      </c>
      <c r="M7" s="50" t="s">
        <v>174</v>
      </c>
      <c r="N7" s="54">
        <v>46223</v>
      </c>
      <c r="O7" s="50" t="s">
        <v>233</v>
      </c>
      <c r="P7" s="50"/>
      <c r="Q7" s="45" t="s">
        <v>174</v>
      </c>
    </row>
    <row r="8" spans="1:17">
      <c r="A8" s="50" t="s">
        <v>240</v>
      </c>
      <c r="B8" s="45" t="s">
        <v>70</v>
      </c>
      <c r="C8" s="45" t="s">
        <v>16</v>
      </c>
      <c r="D8" s="46">
        <v>300000</v>
      </c>
      <c r="E8" s="47">
        <v>0.03</v>
      </c>
      <c r="F8" s="46">
        <f t="shared" si="0"/>
        <v>9000</v>
      </c>
      <c r="G8" s="45" t="s">
        <v>48</v>
      </c>
      <c r="H8" s="48">
        <v>1</v>
      </c>
      <c r="I8" s="45" t="s">
        <v>96</v>
      </c>
      <c r="J8" s="45" t="s">
        <v>19</v>
      </c>
      <c r="K8" s="49">
        <v>46223</v>
      </c>
      <c r="L8" s="45" t="s">
        <v>66</v>
      </c>
      <c r="M8" s="45" t="s">
        <v>174</v>
      </c>
      <c r="N8" s="49">
        <v>46223</v>
      </c>
      <c r="O8" s="45" t="s">
        <v>233</v>
      </c>
      <c r="P8" s="45"/>
      <c r="Q8" s="50" t="s">
        <v>174</v>
      </c>
    </row>
    <row r="9" spans="1:17">
      <c r="A9" s="45" t="s">
        <v>240</v>
      </c>
      <c r="B9" s="45" t="s">
        <v>416</v>
      </c>
      <c r="C9" s="45" t="s">
        <v>237</v>
      </c>
      <c r="D9" s="46">
        <v>11000000</v>
      </c>
      <c r="E9" s="47">
        <v>1.4999999999999999E-2</v>
      </c>
      <c r="F9" s="46">
        <f t="shared" si="0"/>
        <v>165000</v>
      </c>
      <c r="G9" s="45" t="s">
        <v>17</v>
      </c>
      <c r="H9" s="48">
        <v>1</v>
      </c>
      <c r="I9" s="45" t="s">
        <v>30</v>
      </c>
      <c r="J9" s="45" t="s">
        <v>19</v>
      </c>
      <c r="K9" s="49">
        <v>46231</v>
      </c>
      <c r="L9" s="45" t="s">
        <v>66</v>
      </c>
      <c r="M9" s="45" t="s">
        <v>174</v>
      </c>
      <c r="N9" s="49">
        <v>46231</v>
      </c>
      <c r="O9" s="45" t="s">
        <v>233</v>
      </c>
      <c r="P9" s="45"/>
      <c r="Q9" s="45" t="s">
        <v>174</v>
      </c>
    </row>
    <row r="10" spans="1:17">
      <c r="A10" s="50" t="s">
        <v>240</v>
      </c>
      <c r="B10" s="50" t="s">
        <v>416</v>
      </c>
      <c r="C10" s="50" t="s">
        <v>16</v>
      </c>
      <c r="D10" s="51">
        <v>11000000</v>
      </c>
      <c r="E10" s="52">
        <v>1.4999999999999999E-2</v>
      </c>
      <c r="F10" s="46">
        <f t="shared" si="0"/>
        <v>165000</v>
      </c>
      <c r="G10" s="50" t="s">
        <v>17</v>
      </c>
      <c r="H10" s="53">
        <v>1</v>
      </c>
      <c r="I10" s="50" t="s">
        <v>30</v>
      </c>
      <c r="J10" s="50" t="s">
        <v>19</v>
      </c>
      <c r="K10" s="54">
        <v>46231</v>
      </c>
      <c r="L10" s="50" t="s">
        <v>66</v>
      </c>
      <c r="M10" s="50" t="s">
        <v>174</v>
      </c>
      <c r="N10" s="54">
        <v>46231</v>
      </c>
      <c r="O10" s="50" t="s">
        <v>233</v>
      </c>
      <c r="P10" s="50"/>
      <c r="Q10" s="50" t="s">
        <v>174</v>
      </c>
    </row>
    <row r="11" spans="1:17">
      <c r="A11" s="45" t="s">
        <v>240</v>
      </c>
      <c r="B11" s="45" t="s">
        <v>65</v>
      </c>
      <c r="C11" s="45" t="s">
        <v>16</v>
      </c>
      <c r="D11" s="46">
        <v>5000000</v>
      </c>
      <c r="E11" s="47">
        <v>1.4999999999999999E-2</v>
      </c>
      <c r="F11" s="46">
        <f t="shared" si="0"/>
        <v>75000</v>
      </c>
      <c r="G11" s="45" t="s">
        <v>48</v>
      </c>
      <c r="H11" s="48">
        <v>1</v>
      </c>
      <c r="I11" s="45" t="s">
        <v>96</v>
      </c>
      <c r="J11" s="45" t="s">
        <v>19</v>
      </c>
      <c r="K11" s="49">
        <v>46227</v>
      </c>
      <c r="L11" s="45" t="s">
        <v>66</v>
      </c>
      <c r="M11" s="45" t="s">
        <v>174</v>
      </c>
      <c r="N11" s="49">
        <v>46227</v>
      </c>
      <c r="O11" s="45" t="s">
        <v>244</v>
      </c>
      <c r="P11" s="45" t="s">
        <v>417</v>
      </c>
      <c r="Q11" s="45" t="s">
        <v>174</v>
      </c>
    </row>
    <row r="12" spans="1:17">
      <c r="A12" s="50" t="s">
        <v>240</v>
      </c>
      <c r="B12" s="50" t="s">
        <v>65</v>
      </c>
      <c r="C12" s="50" t="s">
        <v>16</v>
      </c>
      <c r="D12" s="51">
        <v>5000000</v>
      </c>
      <c r="E12" s="52">
        <v>1.4999999999999999E-2</v>
      </c>
      <c r="F12" s="46">
        <f t="shared" si="0"/>
        <v>75000</v>
      </c>
      <c r="G12" s="50" t="s">
        <v>48</v>
      </c>
      <c r="H12" s="53">
        <v>1</v>
      </c>
      <c r="I12" s="50" t="s">
        <v>125</v>
      </c>
      <c r="J12" s="50" t="s">
        <v>19</v>
      </c>
      <c r="K12" s="54">
        <v>46224</v>
      </c>
      <c r="L12" s="50" t="s">
        <v>66</v>
      </c>
      <c r="M12" s="50" t="s">
        <v>174</v>
      </c>
      <c r="N12" s="54">
        <v>46224</v>
      </c>
      <c r="O12" s="50" t="s">
        <v>244</v>
      </c>
      <c r="P12" s="50" t="s">
        <v>417</v>
      </c>
      <c r="Q12" s="50" t="s">
        <v>174</v>
      </c>
    </row>
    <row r="13" spans="1:17">
      <c r="A13" s="45" t="s">
        <v>240</v>
      </c>
      <c r="B13" s="45" t="s">
        <v>65</v>
      </c>
      <c r="C13" s="45" t="s">
        <v>16</v>
      </c>
      <c r="D13" s="46">
        <v>5000000</v>
      </c>
      <c r="E13" s="47">
        <v>1.4999999999999999E-2</v>
      </c>
      <c r="F13" s="46">
        <f t="shared" si="0"/>
        <v>75000</v>
      </c>
      <c r="G13" s="45" t="s">
        <v>48</v>
      </c>
      <c r="H13" s="48">
        <v>1</v>
      </c>
      <c r="I13" s="45" t="s">
        <v>44</v>
      </c>
      <c r="J13" s="45" t="s">
        <v>19</v>
      </c>
      <c r="K13" s="49">
        <v>46231</v>
      </c>
      <c r="L13" s="45" t="s">
        <v>66</v>
      </c>
      <c r="M13" s="45" t="s">
        <v>174</v>
      </c>
      <c r="N13" s="49">
        <v>46231</v>
      </c>
      <c r="O13" s="45" t="s">
        <v>244</v>
      </c>
      <c r="P13" s="45" t="s">
        <v>417</v>
      </c>
      <c r="Q13" s="45" t="s">
        <v>174</v>
      </c>
    </row>
    <row r="14" spans="1:17">
      <c r="A14" s="50" t="s">
        <v>240</v>
      </c>
      <c r="B14" s="50" t="s">
        <v>65</v>
      </c>
      <c r="C14" s="50" t="s">
        <v>16</v>
      </c>
      <c r="D14" s="51">
        <v>5000000</v>
      </c>
      <c r="E14" s="52">
        <v>1.4999999999999999E-2</v>
      </c>
      <c r="F14" s="46">
        <f t="shared" si="0"/>
        <v>75000</v>
      </c>
      <c r="G14" s="50" t="s">
        <v>48</v>
      </c>
      <c r="H14" s="53">
        <v>1</v>
      </c>
      <c r="I14" s="50" t="s">
        <v>107</v>
      </c>
      <c r="J14" s="50" t="s">
        <v>19</v>
      </c>
      <c r="K14" s="54">
        <v>46231</v>
      </c>
      <c r="L14" s="50" t="s">
        <v>66</v>
      </c>
      <c r="M14" s="50" t="s">
        <v>174</v>
      </c>
      <c r="N14" s="54">
        <v>46231</v>
      </c>
      <c r="O14" s="50" t="s">
        <v>244</v>
      </c>
      <c r="P14" s="50" t="s">
        <v>417</v>
      </c>
      <c r="Q14" s="50" t="s">
        <v>174</v>
      </c>
    </row>
    <row r="15" spans="1:17">
      <c r="A15" s="45" t="s">
        <v>343</v>
      </c>
      <c r="B15" s="71" t="s">
        <v>15</v>
      </c>
      <c r="C15" s="71" t="s">
        <v>16</v>
      </c>
      <c r="D15" s="72">
        <v>500000</v>
      </c>
      <c r="E15" s="73">
        <v>0.02</v>
      </c>
      <c r="F15" s="72">
        <f t="shared" si="0"/>
        <v>10000</v>
      </c>
      <c r="G15" s="71" t="s">
        <v>17</v>
      </c>
      <c r="H15" s="74">
        <v>1</v>
      </c>
      <c r="I15" s="71" t="s">
        <v>167</v>
      </c>
      <c r="J15" s="71" t="s">
        <v>19</v>
      </c>
      <c r="K15" s="75">
        <v>46204</v>
      </c>
      <c r="L15" s="71" t="s">
        <v>66</v>
      </c>
      <c r="M15" s="71" t="s">
        <v>188</v>
      </c>
      <c r="N15" s="75">
        <v>46219</v>
      </c>
      <c r="O15" s="71"/>
      <c r="P15" s="71"/>
      <c r="Q15" s="45" t="s">
        <v>188</v>
      </c>
    </row>
    <row r="16" spans="1:17">
      <c r="A16" s="50" t="s">
        <v>343</v>
      </c>
      <c r="B16" s="45" t="s">
        <v>15</v>
      </c>
      <c r="C16" s="45" t="s">
        <v>16</v>
      </c>
      <c r="D16" s="46">
        <v>500000</v>
      </c>
      <c r="E16" s="47">
        <v>0.02</v>
      </c>
      <c r="F16" s="46">
        <f t="shared" si="0"/>
        <v>10000</v>
      </c>
      <c r="G16" s="45" t="s">
        <v>17</v>
      </c>
      <c r="H16" s="48">
        <v>1</v>
      </c>
      <c r="I16" s="45" t="s">
        <v>312</v>
      </c>
      <c r="J16" s="45" t="s">
        <v>19</v>
      </c>
      <c r="K16" s="49">
        <v>46204</v>
      </c>
      <c r="L16" s="45" t="s">
        <v>66</v>
      </c>
      <c r="M16" s="45" t="s">
        <v>188</v>
      </c>
      <c r="N16" s="49">
        <v>46219</v>
      </c>
      <c r="O16" s="45"/>
      <c r="P16" s="45"/>
      <c r="Q16" s="50" t="s">
        <v>188</v>
      </c>
    </row>
    <row r="17" spans="1:17">
      <c r="A17" s="45" t="s">
        <v>343</v>
      </c>
      <c r="B17" s="71" t="s">
        <v>15</v>
      </c>
      <c r="C17" s="71" t="s">
        <v>16</v>
      </c>
      <c r="D17" s="72">
        <v>500000</v>
      </c>
      <c r="E17" s="73">
        <v>0.02</v>
      </c>
      <c r="F17" s="72">
        <f t="shared" si="0"/>
        <v>10000</v>
      </c>
      <c r="G17" s="71" t="s">
        <v>17</v>
      </c>
      <c r="H17" s="74">
        <v>1</v>
      </c>
      <c r="I17" s="71" t="s">
        <v>53</v>
      </c>
      <c r="J17" s="77" t="s">
        <v>19</v>
      </c>
      <c r="K17" s="75">
        <v>46238</v>
      </c>
      <c r="L17" s="71" t="s">
        <v>66</v>
      </c>
      <c r="M17" s="71" t="s">
        <v>188</v>
      </c>
      <c r="N17" s="99">
        <v>46239</v>
      </c>
      <c r="O17" s="50"/>
      <c r="P17" s="50"/>
      <c r="Q17" s="45" t="s">
        <v>188</v>
      </c>
    </row>
    <row r="18" spans="1:17">
      <c r="A18" s="50" t="s">
        <v>240</v>
      </c>
      <c r="B18" s="45" t="s">
        <v>418</v>
      </c>
      <c r="C18" s="45" t="s">
        <v>83</v>
      </c>
      <c r="D18" s="46">
        <v>76712</v>
      </c>
      <c r="E18" s="47">
        <v>7.4999999999999997E-3</v>
      </c>
      <c r="F18" s="46">
        <f t="shared" si="0"/>
        <v>575.34</v>
      </c>
      <c r="G18" s="45" t="s">
        <v>26</v>
      </c>
      <c r="H18" s="48">
        <v>1</v>
      </c>
      <c r="I18" s="45" t="s">
        <v>84</v>
      </c>
      <c r="J18" s="45" t="s">
        <v>214</v>
      </c>
      <c r="K18" s="49">
        <v>46231</v>
      </c>
      <c r="L18" s="45" t="s">
        <v>66</v>
      </c>
      <c r="M18" s="45" t="s">
        <v>188</v>
      </c>
      <c r="N18" s="49">
        <v>46231</v>
      </c>
      <c r="O18" s="45" t="s">
        <v>175</v>
      </c>
      <c r="P18" s="45" t="s">
        <v>419</v>
      </c>
      <c r="Q18" s="50" t="s">
        <v>188</v>
      </c>
    </row>
    <row r="19" spans="1:17">
      <c r="A19" s="45" t="s">
        <v>341</v>
      </c>
      <c r="B19" s="50" t="s">
        <v>420</v>
      </c>
      <c r="C19" s="50" t="s">
        <v>16</v>
      </c>
      <c r="D19" s="51">
        <v>500000</v>
      </c>
      <c r="E19" s="52">
        <v>0.03</v>
      </c>
      <c r="F19" s="46">
        <f t="shared" si="0"/>
        <v>15000</v>
      </c>
      <c r="G19" s="50" t="s">
        <v>17</v>
      </c>
      <c r="H19" s="53">
        <v>1</v>
      </c>
      <c r="I19" s="50" t="s">
        <v>167</v>
      </c>
      <c r="J19" s="50" t="s">
        <v>180</v>
      </c>
      <c r="K19" s="49">
        <v>46239</v>
      </c>
      <c r="L19" s="50" t="s">
        <v>66</v>
      </c>
      <c r="M19" s="50" t="s">
        <v>174</v>
      </c>
      <c r="N19" s="117"/>
      <c r="O19" s="50" t="s">
        <v>175</v>
      </c>
      <c r="P19" s="50" t="s">
        <v>421</v>
      </c>
      <c r="Q19" s="45" t="s">
        <v>174</v>
      </c>
    </row>
    <row r="20" spans="1:17">
      <c r="A20" s="50" t="s">
        <v>344</v>
      </c>
      <c r="B20" s="93" t="s">
        <v>422</v>
      </c>
      <c r="C20" s="93" t="s">
        <v>16</v>
      </c>
      <c r="D20" s="94">
        <v>300000</v>
      </c>
      <c r="E20" s="95">
        <v>0</v>
      </c>
      <c r="F20" s="89">
        <f t="shared" si="0"/>
        <v>0</v>
      </c>
      <c r="G20" s="93" t="s">
        <v>26</v>
      </c>
      <c r="H20" s="96">
        <v>1</v>
      </c>
      <c r="I20" s="93" t="s">
        <v>107</v>
      </c>
      <c r="J20" s="93" t="s">
        <v>19</v>
      </c>
      <c r="K20" s="97">
        <v>46238</v>
      </c>
      <c r="L20" s="93" t="s">
        <v>66</v>
      </c>
      <c r="M20" s="93" t="s">
        <v>174</v>
      </c>
      <c r="N20" s="97">
        <v>46244</v>
      </c>
      <c r="O20" s="93" t="s">
        <v>233</v>
      </c>
      <c r="P20" s="93" t="s">
        <v>423</v>
      </c>
      <c r="Q20" s="50" t="s">
        <v>174</v>
      </c>
    </row>
    <row r="21" spans="1:17">
      <c r="A21" s="45" t="s">
        <v>240</v>
      </c>
      <c r="B21" s="45" t="s">
        <v>424</v>
      </c>
      <c r="C21" s="45" t="s">
        <v>29</v>
      </c>
      <c r="D21" s="46">
        <v>3000000</v>
      </c>
      <c r="E21" s="47">
        <v>0.01</v>
      </c>
      <c r="F21" s="46">
        <f t="shared" si="0"/>
        <v>30000</v>
      </c>
      <c r="G21" s="45" t="s">
        <v>66</v>
      </c>
      <c r="H21" s="48">
        <v>1</v>
      </c>
      <c r="I21" s="45" t="s">
        <v>18</v>
      </c>
      <c r="J21" s="45" t="s">
        <v>19</v>
      </c>
      <c r="K21" s="49">
        <v>46228</v>
      </c>
      <c r="L21" s="45" t="s">
        <v>66</v>
      </c>
      <c r="M21" s="45" t="s">
        <v>188</v>
      </c>
      <c r="N21" s="49">
        <v>46246</v>
      </c>
      <c r="O21" s="45" t="s">
        <v>175</v>
      </c>
      <c r="P21" s="45" t="s">
        <v>419</v>
      </c>
      <c r="Q21" s="45" t="s">
        <v>188</v>
      </c>
    </row>
    <row r="22" spans="1:17">
      <c r="A22" s="50" t="s">
        <v>240</v>
      </c>
      <c r="B22" s="45" t="s">
        <v>79</v>
      </c>
      <c r="C22" s="45" t="s">
        <v>16</v>
      </c>
      <c r="D22" s="46">
        <v>1000000</v>
      </c>
      <c r="E22" s="47">
        <v>1.4999999999999999E-2</v>
      </c>
      <c r="F22" s="46">
        <f t="shared" si="0"/>
        <v>15000</v>
      </c>
      <c r="G22" s="45" t="s">
        <v>26</v>
      </c>
      <c r="H22" s="48">
        <v>1</v>
      </c>
      <c r="I22" s="45" t="s">
        <v>53</v>
      </c>
      <c r="J22" s="45" t="s">
        <v>214</v>
      </c>
      <c r="K22" s="49">
        <v>46231</v>
      </c>
      <c r="L22" s="45" t="s">
        <v>66</v>
      </c>
      <c r="M22" s="45" t="s">
        <v>174</v>
      </c>
      <c r="N22" s="49">
        <v>46239</v>
      </c>
      <c r="O22" s="45" t="s">
        <v>233</v>
      </c>
      <c r="P22" s="45" t="s">
        <v>425</v>
      </c>
      <c r="Q22" s="50" t="s">
        <v>174</v>
      </c>
    </row>
    <row r="23" spans="1:17">
      <c r="A23" s="45" t="s">
        <v>240</v>
      </c>
      <c r="B23" s="45" t="s">
        <v>79</v>
      </c>
      <c r="C23" s="45" t="s">
        <v>16</v>
      </c>
      <c r="D23" s="46">
        <v>1000000</v>
      </c>
      <c r="E23" s="47">
        <v>1.4999999999999999E-2</v>
      </c>
      <c r="F23" s="46">
        <f t="shared" si="0"/>
        <v>15000</v>
      </c>
      <c r="G23" s="45" t="s">
        <v>26</v>
      </c>
      <c r="H23" s="48">
        <v>1</v>
      </c>
      <c r="I23" s="45" t="s">
        <v>125</v>
      </c>
      <c r="J23" s="45" t="s">
        <v>214</v>
      </c>
      <c r="K23" s="49">
        <v>46231</v>
      </c>
      <c r="L23" s="45" t="s">
        <v>66</v>
      </c>
      <c r="M23" s="45" t="s">
        <v>174</v>
      </c>
      <c r="N23" s="49">
        <v>46239</v>
      </c>
      <c r="O23" s="45" t="s">
        <v>233</v>
      </c>
      <c r="P23" s="45" t="s">
        <v>425</v>
      </c>
      <c r="Q23" s="45" t="s">
        <v>174</v>
      </c>
    </row>
    <row r="24" spans="1:17">
      <c r="A24" s="50" t="s">
        <v>240</v>
      </c>
      <c r="B24" s="45" t="s">
        <v>416</v>
      </c>
      <c r="C24" s="45" t="s">
        <v>237</v>
      </c>
      <c r="D24" s="46">
        <v>11000000</v>
      </c>
      <c r="E24" s="47">
        <v>1.4999999999999999E-2</v>
      </c>
      <c r="F24" s="46">
        <f t="shared" si="0"/>
        <v>165000</v>
      </c>
      <c r="G24" s="45" t="s">
        <v>17</v>
      </c>
      <c r="H24" s="48">
        <v>1</v>
      </c>
      <c r="I24" s="101" t="s">
        <v>426</v>
      </c>
      <c r="J24" s="45" t="s">
        <v>19</v>
      </c>
      <c r="K24" s="49">
        <v>46230</v>
      </c>
      <c r="L24" s="45" t="s">
        <v>66</v>
      </c>
      <c r="M24" s="45" t="s">
        <v>174</v>
      </c>
      <c r="N24" s="49">
        <v>46246</v>
      </c>
      <c r="O24" s="45" t="s">
        <v>175</v>
      </c>
      <c r="P24" s="45" t="s">
        <v>427</v>
      </c>
      <c r="Q24" s="50" t="s">
        <v>174</v>
      </c>
    </row>
    <row r="25" spans="1:17">
      <c r="A25" s="45" t="s">
        <v>343</v>
      </c>
      <c r="B25" s="50" t="s">
        <v>428</v>
      </c>
      <c r="C25" s="50" t="s">
        <v>29</v>
      </c>
      <c r="D25" s="51">
        <v>50000000</v>
      </c>
      <c r="E25" s="52">
        <v>6.6666659999999999E-3</v>
      </c>
      <c r="F25" s="46">
        <f t="shared" si="0"/>
        <v>333333.3</v>
      </c>
      <c r="G25" s="50" t="s">
        <v>17</v>
      </c>
      <c r="H25" s="53">
        <v>1</v>
      </c>
      <c r="I25" s="50" t="s">
        <v>18</v>
      </c>
      <c r="J25" s="50" t="s">
        <v>27</v>
      </c>
      <c r="K25" s="54">
        <v>46239</v>
      </c>
      <c r="L25" s="50" t="s">
        <v>66</v>
      </c>
      <c r="M25" s="50" t="s">
        <v>188</v>
      </c>
      <c r="N25" s="54">
        <v>46253</v>
      </c>
      <c r="O25" s="50"/>
      <c r="P25" s="50" t="s">
        <v>429</v>
      </c>
      <c r="Q25" s="45" t="s">
        <v>188</v>
      </c>
    </row>
    <row r="26" spans="1:17">
      <c r="A26" s="50" t="s">
        <v>240</v>
      </c>
      <c r="B26" s="50" t="s">
        <v>430</v>
      </c>
      <c r="C26" s="50" t="s">
        <v>114</v>
      </c>
      <c r="D26" s="51">
        <v>10000</v>
      </c>
      <c r="E26" s="52">
        <v>1</v>
      </c>
      <c r="F26" s="46">
        <f t="shared" si="0"/>
        <v>10000</v>
      </c>
      <c r="G26" s="50" t="s">
        <v>26</v>
      </c>
      <c r="H26" s="53">
        <v>1</v>
      </c>
      <c r="I26" s="45" t="s">
        <v>431</v>
      </c>
      <c r="J26" s="50" t="s">
        <v>19</v>
      </c>
      <c r="K26" s="54">
        <v>46251</v>
      </c>
      <c r="L26" s="50" t="s">
        <v>66</v>
      </c>
      <c r="M26" s="50" t="s">
        <v>174</v>
      </c>
      <c r="N26" s="54">
        <v>46253</v>
      </c>
      <c r="O26" s="50" t="s">
        <v>175</v>
      </c>
      <c r="P26" s="50" t="s">
        <v>432</v>
      </c>
      <c r="Q26" s="50" t="s">
        <v>174</v>
      </c>
    </row>
    <row r="27" spans="1:17">
      <c r="A27" s="45" t="s">
        <v>240</v>
      </c>
      <c r="B27" s="45" t="s">
        <v>430</v>
      </c>
      <c r="C27" s="45" t="s">
        <v>29</v>
      </c>
      <c r="D27" s="46">
        <v>500000</v>
      </c>
      <c r="E27" s="47">
        <v>0.02</v>
      </c>
      <c r="F27" s="46">
        <f t="shared" si="0"/>
        <v>10000</v>
      </c>
      <c r="G27" s="45" t="s">
        <v>26</v>
      </c>
      <c r="H27" s="48">
        <v>1</v>
      </c>
      <c r="I27" s="45" t="s">
        <v>18</v>
      </c>
      <c r="J27" s="45" t="s">
        <v>19</v>
      </c>
      <c r="K27" s="49">
        <v>46251</v>
      </c>
      <c r="L27" s="45" t="s">
        <v>66</v>
      </c>
      <c r="M27" s="45" t="s">
        <v>174</v>
      </c>
      <c r="N27" s="49">
        <v>46253</v>
      </c>
      <c r="O27" s="45" t="s">
        <v>175</v>
      </c>
      <c r="P27" s="50" t="s">
        <v>432</v>
      </c>
      <c r="Q27" s="45" t="s">
        <v>174</v>
      </c>
    </row>
    <row r="28" spans="1:17">
      <c r="A28" s="50" t="s">
        <v>240</v>
      </c>
      <c r="B28" s="50" t="s">
        <v>94</v>
      </c>
      <c r="C28" s="50" t="s">
        <v>16</v>
      </c>
      <c r="D28" s="51">
        <v>500000</v>
      </c>
      <c r="E28" s="52">
        <v>0.02</v>
      </c>
      <c r="F28" s="46">
        <f t="shared" si="0"/>
        <v>10000</v>
      </c>
      <c r="G28" s="50" t="s">
        <v>48</v>
      </c>
      <c r="H28" s="53">
        <v>1</v>
      </c>
      <c r="I28" s="50" t="s">
        <v>99</v>
      </c>
      <c r="J28" s="50" t="s">
        <v>19</v>
      </c>
      <c r="K28" s="54">
        <v>46231</v>
      </c>
      <c r="L28" s="50" t="s">
        <v>66</v>
      </c>
      <c r="M28" s="50" t="s">
        <v>174</v>
      </c>
      <c r="N28" s="54">
        <v>46237</v>
      </c>
      <c r="O28" s="50" t="s">
        <v>175</v>
      </c>
      <c r="P28" s="50" t="s">
        <v>433</v>
      </c>
      <c r="Q28" s="50" t="s">
        <v>174</v>
      </c>
    </row>
    <row r="29" spans="1:17">
      <c r="A29" s="45" t="s">
        <v>240</v>
      </c>
      <c r="B29" s="50" t="s">
        <v>416</v>
      </c>
      <c r="C29" s="50" t="s">
        <v>83</v>
      </c>
      <c r="D29" s="51">
        <v>10000000</v>
      </c>
      <c r="E29" s="52">
        <v>1.4999999999999999E-2</v>
      </c>
      <c r="F29" s="46">
        <f t="shared" si="0"/>
        <v>150000</v>
      </c>
      <c r="G29" s="50" t="s">
        <v>17</v>
      </c>
      <c r="H29" s="53">
        <v>1</v>
      </c>
      <c r="I29" s="50" t="s">
        <v>84</v>
      </c>
      <c r="J29" s="50" t="s">
        <v>19</v>
      </c>
      <c r="K29" s="54">
        <v>46227</v>
      </c>
      <c r="L29" s="50" t="s">
        <v>66</v>
      </c>
      <c r="M29" s="50" t="s">
        <v>174</v>
      </c>
      <c r="N29" s="54">
        <v>46247</v>
      </c>
      <c r="O29" s="50" t="s">
        <v>233</v>
      </c>
      <c r="P29" s="50" t="s">
        <v>434</v>
      </c>
      <c r="Q29" s="45" t="s">
        <v>174</v>
      </c>
    </row>
    <row r="30" spans="1:17">
      <c r="A30" s="50" t="s">
        <v>240</v>
      </c>
      <c r="B30" s="50" t="s">
        <v>416</v>
      </c>
      <c r="C30" s="50" t="s">
        <v>237</v>
      </c>
      <c r="D30" s="51">
        <v>11000000</v>
      </c>
      <c r="E30" s="52">
        <v>1.4999999999999999E-2</v>
      </c>
      <c r="F30" s="46">
        <f t="shared" si="0"/>
        <v>165000</v>
      </c>
      <c r="G30" s="50" t="s">
        <v>17</v>
      </c>
      <c r="H30" s="53">
        <v>1</v>
      </c>
      <c r="I30" s="50" t="s">
        <v>84</v>
      </c>
      <c r="J30" s="50" t="s">
        <v>19</v>
      </c>
      <c r="K30" s="54">
        <v>46237</v>
      </c>
      <c r="L30" s="50" t="s">
        <v>66</v>
      </c>
      <c r="M30" s="50" t="s">
        <v>174</v>
      </c>
      <c r="N30" s="54">
        <v>46247</v>
      </c>
      <c r="O30" s="50" t="s">
        <v>233</v>
      </c>
      <c r="P30" s="50" t="s">
        <v>434</v>
      </c>
      <c r="Q30" s="50" t="s">
        <v>174</v>
      </c>
    </row>
    <row r="31" spans="1:17">
      <c r="A31" s="45" t="s">
        <v>344</v>
      </c>
      <c r="B31" s="50" t="s">
        <v>422</v>
      </c>
      <c r="C31" s="50" t="s">
        <v>16</v>
      </c>
      <c r="D31" s="51">
        <v>300000</v>
      </c>
      <c r="E31" s="52">
        <v>0</v>
      </c>
      <c r="F31" s="46">
        <f t="shared" si="0"/>
        <v>0</v>
      </c>
      <c r="G31" s="50" t="s">
        <v>26</v>
      </c>
      <c r="H31" s="53">
        <v>1</v>
      </c>
      <c r="I31" s="50" t="s">
        <v>44</v>
      </c>
      <c r="J31" s="50" t="s">
        <v>19</v>
      </c>
      <c r="K31" s="54">
        <v>46247</v>
      </c>
      <c r="L31" s="50" t="s">
        <v>66</v>
      </c>
      <c r="M31" s="50" t="s">
        <v>174</v>
      </c>
      <c r="N31" s="54">
        <v>46246</v>
      </c>
      <c r="O31" s="50" t="s">
        <v>233</v>
      </c>
      <c r="P31" s="50"/>
      <c r="Q31" s="45" t="s">
        <v>174</v>
      </c>
    </row>
    <row r="32" spans="1:17">
      <c r="A32" s="50" t="s">
        <v>344</v>
      </c>
      <c r="B32" s="93" t="s">
        <v>155</v>
      </c>
      <c r="C32" s="93" t="s">
        <v>16</v>
      </c>
      <c r="D32" s="94">
        <v>1000000</v>
      </c>
      <c r="E32" s="95">
        <v>2.5000000000000001E-2</v>
      </c>
      <c r="F32" s="89">
        <f t="shared" si="0"/>
        <v>25000</v>
      </c>
      <c r="G32" s="93" t="s">
        <v>66</v>
      </c>
      <c r="H32" s="96">
        <v>1</v>
      </c>
      <c r="I32" s="93" t="s">
        <v>30</v>
      </c>
      <c r="J32" s="93" t="s">
        <v>19</v>
      </c>
      <c r="K32" s="97">
        <v>46247</v>
      </c>
      <c r="L32" s="93" t="s">
        <v>66</v>
      </c>
      <c r="M32" s="93" t="s">
        <v>174</v>
      </c>
      <c r="N32" s="54">
        <v>46253</v>
      </c>
      <c r="O32" s="50" t="s">
        <v>233</v>
      </c>
      <c r="P32" s="50"/>
      <c r="Q32" s="50" t="s">
        <v>174</v>
      </c>
    </row>
    <row r="33" spans="1:17">
      <c r="A33" s="45" t="s">
        <v>341</v>
      </c>
      <c r="B33" s="45" t="s">
        <v>435</v>
      </c>
      <c r="C33" s="45" t="s">
        <v>29</v>
      </c>
      <c r="D33" s="46">
        <v>500000</v>
      </c>
      <c r="E33" s="47">
        <v>0.03</v>
      </c>
      <c r="F33" s="46">
        <f t="shared" si="0"/>
        <v>15000</v>
      </c>
      <c r="G33" s="45" t="s">
        <v>17</v>
      </c>
      <c r="H33" s="48">
        <v>1</v>
      </c>
      <c r="I33" s="45" t="s">
        <v>192</v>
      </c>
      <c r="J33" s="45" t="s">
        <v>19</v>
      </c>
      <c r="K33" s="54">
        <v>46254</v>
      </c>
      <c r="L33" s="45" t="s">
        <v>436</v>
      </c>
      <c r="M33" s="45" t="s">
        <v>188</v>
      </c>
      <c r="N33" s="49">
        <v>46241</v>
      </c>
      <c r="O33" s="45"/>
      <c r="P33" s="45" t="s">
        <v>437</v>
      </c>
      <c r="Q33" s="45" t="s">
        <v>188</v>
      </c>
    </row>
    <row r="34" spans="1:17">
      <c r="A34" s="50" t="s">
        <v>341</v>
      </c>
      <c r="B34" s="50" t="s">
        <v>438</v>
      </c>
      <c r="C34" s="50" t="s">
        <v>16</v>
      </c>
      <c r="D34" s="51">
        <v>200000</v>
      </c>
      <c r="E34" s="52">
        <v>0.03</v>
      </c>
      <c r="F34" s="46">
        <f t="shared" si="0"/>
        <v>6000</v>
      </c>
      <c r="G34" s="50" t="s">
        <v>17</v>
      </c>
      <c r="H34" s="53">
        <v>1</v>
      </c>
      <c r="I34" s="50" t="s">
        <v>39</v>
      </c>
      <c r="J34" s="76" t="s">
        <v>180</v>
      </c>
      <c r="K34" s="54">
        <v>46254</v>
      </c>
      <c r="L34" s="50" t="s">
        <v>20</v>
      </c>
      <c r="M34" s="45" t="s">
        <v>174</v>
      </c>
      <c r="N34" s="54">
        <v>46254</v>
      </c>
      <c r="O34" s="45" t="s">
        <v>439</v>
      </c>
      <c r="P34" s="45" t="s">
        <v>440</v>
      </c>
      <c r="Q34" s="50" t="s">
        <v>174</v>
      </c>
    </row>
    <row r="35" spans="1:17">
      <c r="A35" s="45" t="s">
        <v>341</v>
      </c>
      <c r="B35" s="50" t="s">
        <v>438</v>
      </c>
      <c r="C35" s="50" t="s">
        <v>16</v>
      </c>
      <c r="D35" s="51">
        <v>200000</v>
      </c>
      <c r="E35" s="52">
        <v>0.03</v>
      </c>
      <c r="F35" s="46">
        <f t="shared" si="0"/>
        <v>6000</v>
      </c>
      <c r="G35" s="50" t="s">
        <v>17</v>
      </c>
      <c r="H35" s="53">
        <v>1</v>
      </c>
      <c r="I35" s="50" t="s">
        <v>39</v>
      </c>
      <c r="J35" s="76" t="s">
        <v>180</v>
      </c>
      <c r="K35" s="54">
        <v>46254</v>
      </c>
      <c r="L35" s="50" t="s">
        <v>20</v>
      </c>
      <c r="M35" s="45" t="s">
        <v>174</v>
      </c>
      <c r="N35" s="54">
        <v>46254</v>
      </c>
      <c r="O35" s="45" t="s">
        <v>439</v>
      </c>
      <c r="P35" s="45" t="s">
        <v>440</v>
      </c>
      <c r="Q35" s="45" t="s">
        <v>174</v>
      </c>
    </row>
    <row r="36" spans="1:17">
      <c r="A36" s="50" t="s">
        <v>341</v>
      </c>
      <c r="B36" s="45" t="s">
        <v>184</v>
      </c>
      <c r="C36" s="45" t="s">
        <v>16</v>
      </c>
      <c r="D36" s="46">
        <v>300000</v>
      </c>
      <c r="E36" s="47">
        <v>0.03</v>
      </c>
      <c r="F36" s="46">
        <f t="shared" si="0"/>
        <v>9000</v>
      </c>
      <c r="G36" s="45" t="s">
        <v>17</v>
      </c>
      <c r="H36" s="48">
        <v>1</v>
      </c>
      <c r="I36" s="45" t="s">
        <v>107</v>
      </c>
      <c r="J36" s="45" t="s">
        <v>35</v>
      </c>
      <c r="K36" s="54">
        <v>46254</v>
      </c>
      <c r="L36" s="45" t="s">
        <v>20</v>
      </c>
      <c r="M36" s="45" t="s">
        <v>174</v>
      </c>
      <c r="N36" s="54">
        <v>46254</v>
      </c>
      <c r="O36" s="50" t="s">
        <v>441</v>
      </c>
      <c r="P36" s="45"/>
      <c r="Q36" s="50" t="s">
        <v>174</v>
      </c>
    </row>
    <row r="37" spans="1:17">
      <c r="A37" s="45" t="s">
        <v>341</v>
      </c>
      <c r="B37" s="50" t="s">
        <v>182</v>
      </c>
      <c r="C37" s="50" t="s">
        <v>16</v>
      </c>
      <c r="D37" s="51">
        <v>300000</v>
      </c>
      <c r="E37" s="52">
        <v>0.03</v>
      </c>
      <c r="F37" s="46">
        <f t="shared" si="0"/>
        <v>9000</v>
      </c>
      <c r="G37" s="50" t="s">
        <v>17</v>
      </c>
      <c r="H37" s="53">
        <v>1</v>
      </c>
      <c r="I37" s="50" t="s">
        <v>44</v>
      </c>
      <c r="J37" s="50" t="s">
        <v>35</v>
      </c>
      <c r="K37" s="54">
        <v>46254</v>
      </c>
      <c r="L37" s="50" t="s">
        <v>66</v>
      </c>
      <c r="M37" s="45" t="s">
        <v>174</v>
      </c>
      <c r="N37" s="54">
        <v>46254</v>
      </c>
      <c r="O37" s="50" t="s">
        <v>441</v>
      </c>
      <c r="P37" s="50"/>
      <c r="Q37" s="45" t="s">
        <v>174</v>
      </c>
    </row>
    <row r="38" spans="1:17">
      <c r="A38" s="50" t="s">
        <v>341</v>
      </c>
      <c r="B38" s="50" t="s">
        <v>182</v>
      </c>
      <c r="C38" s="50" t="s">
        <v>16</v>
      </c>
      <c r="D38" s="51">
        <v>300000</v>
      </c>
      <c r="E38" s="52">
        <v>0.03</v>
      </c>
      <c r="F38" s="46">
        <f t="shared" si="0"/>
        <v>9000</v>
      </c>
      <c r="G38" s="50" t="s">
        <v>17</v>
      </c>
      <c r="H38" s="53">
        <v>1</v>
      </c>
      <c r="I38" s="50" t="s">
        <v>107</v>
      </c>
      <c r="J38" s="50" t="s">
        <v>35</v>
      </c>
      <c r="K38" s="54">
        <v>46254</v>
      </c>
      <c r="L38" s="50" t="s">
        <v>66</v>
      </c>
      <c r="M38" s="45" t="s">
        <v>174</v>
      </c>
      <c r="N38" s="54">
        <v>46254</v>
      </c>
      <c r="O38" s="50" t="s">
        <v>441</v>
      </c>
      <c r="P38" s="50"/>
      <c r="Q38" s="50" t="s">
        <v>174</v>
      </c>
    </row>
    <row r="39" spans="1:17">
      <c r="A39" s="45" t="s">
        <v>341</v>
      </c>
      <c r="B39" s="45" t="s">
        <v>442</v>
      </c>
      <c r="C39" s="45" t="s">
        <v>29</v>
      </c>
      <c r="D39" s="46">
        <v>500000</v>
      </c>
      <c r="E39" s="47">
        <v>0.03</v>
      </c>
      <c r="F39" s="46">
        <f t="shared" si="0"/>
        <v>15000</v>
      </c>
      <c r="G39" s="45" t="s">
        <v>66</v>
      </c>
      <c r="H39" s="48">
        <v>1</v>
      </c>
      <c r="I39" s="45" t="s">
        <v>107</v>
      </c>
      <c r="J39" s="45" t="s">
        <v>35</v>
      </c>
      <c r="K39" s="54">
        <v>46254</v>
      </c>
      <c r="L39" s="45" t="s">
        <v>66</v>
      </c>
      <c r="M39" s="45" t="s">
        <v>174</v>
      </c>
      <c r="N39" s="54">
        <v>46254</v>
      </c>
      <c r="O39" s="45" t="s">
        <v>443</v>
      </c>
      <c r="P39" s="45" t="s">
        <v>444</v>
      </c>
      <c r="Q39" s="45" t="s">
        <v>174</v>
      </c>
    </row>
    <row r="40" spans="1:17">
      <c r="A40" s="50" t="s">
        <v>240</v>
      </c>
      <c r="B40" s="45" t="s">
        <v>97</v>
      </c>
      <c r="C40" s="45" t="s">
        <v>16</v>
      </c>
      <c r="D40" s="46">
        <v>5000000</v>
      </c>
      <c r="E40" s="47">
        <v>0.03</v>
      </c>
      <c r="F40" s="46">
        <f>E40*D40</f>
        <v>150000</v>
      </c>
      <c r="G40" s="45" t="s">
        <v>26</v>
      </c>
      <c r="H40" s="48">
        <v>1</v>
      </c>
      <c r="I40" s="45" t="s">
        <v>107</v>
      </c>
      <c r="J40" s="45" t="s">
        <v>19</v>
      </c>
      <c r="K40" s="49">
        <v>46258</v>
      </c>
      <c r="L40" s="45" t="s">
        <v>26</v>
      </c>
      <c r="M40" s="45" t="s">
        <v>174</v>
      </c>
      <c r="N40" s="49">
        <v>46258</v>
      </c>
      <c r="O40" s="45" t="s">
        <v>175</v>
      </c>
      <c r="P40" s="45" t="s">
        <v>445</v>
      </c>
      <c r="Q40" s="50" t="s">
        <v>174</v>
      </c>
    </row>
    <row r="41" spans="1:17">
      <c r="A41" s="45" t="s">
        <v>240</v>
      </c>
      <c r="B41" s="50" t="s">
        <v>79</v>
      </c>
      <c r="C41" s="50" t="s">
        <v>16</v>
      </c>
      <c r="D41" s="51">
        <v>1000000</v>
      </c>
      <c r="E41" s="52">
        <v>1.4999999999999999E-2</v>
      </c>
      <c r="F41" s="46">
        <f>E41*D41</f>
        <v>15000</v>
      </c>
      <c r="G41" s="50" t="s">
        <v>26</v>
      </c>
      <c r="H41" s="53">
        <v>1</v>
      </c>
      <c r="I41" s="50" t="s">
        <v>107</v>
      </c>
      <c r="J41" s="50" t="s">
        <v>214</v>
      </c>
      <c r="K41" s="54">
        <v>46258</v>
      </c>
      <c r="L41" s="50" t="s">
        <v>66</v>
      </c>
      <c r="M41" s="50" t="s">
        <v>174</v>
      </c>
      <c r="N41" s="54">
        <v>46258</v>
      </c>
      <c r="O41" s="50" t="s">
        <v>175</v>
      </c>
      <c r="P41" s="50" t="s">
        <v>446</v>
      </c>
      <c r="Q41" s="45" t="s">
        <v>174</v>
      </c>
    </row>
    <row r="42" spans="1:17">
      <c r="A42" s="50" t="s">
        <v>240</v>
      </c>
      <c r="B42" s="45" t="s">
        <v>65</v>
      </c>
      <c r="C42" s="45" t="s">
        <v>29</v>
      </c>
      <c r="D42" s="46">
        <v>5000000</v>
      </c>
      <c r="E42" s="47">
        <v>1.4999999999999999E-2</v>
      </c>
      <c r="F42" s="46">
        <f>E42*D42</f>
        <v>75000</v>
      </c>
      <c r="G42" s="45" t="s">
        <v>48</v>
      </c>
      <c r="H42" s="48">
        <v>1</v>
      </c>
      <c r="I42" s="45" t="s">
        <v>203</v>
      </c>
      <c r="J42" s="45" t="s">
        <v>19</v>
      </c>
      <c r="K42" s="49">
        <v>46227</v>
      </c>
      <c r="L42" s="45" t="s">
        <v>66</v>
      </c>
      <c r="M42" s="45" t="s">
        <v>174</v>
      </c>
      <c r="N42" s="49">
        <v>46258</v>
      </c>
      <c r="O42" s="45" t="s">
        <v>175</v>
      </c>
      <c r="P42" s="45" t="s">
        <v>447</v>
      </c>
      <c r="Q42" s="50" t="s">
        <v>174</v>
      </c>
    </row>
    <row r="43" spans="1:17">
      <c r="A43" s="45" t="s">
        <v>344</v>
      </c>
      <c r="B43" s="105" t="s">
        <v>448</v>
      </c>
      <c r="C43" s="105" t="s">
        <v>16</v>
      </c>
      <c r="D43" s="106">
        <v>500000</v>
      </c>
      <c r="E43" s="107">
        <v>1.4999999999999999E-2</v>
      </c>
      <c r="F43" s="106">
        <f>E43*D43</f>
        <v>7500</v>
      </c>
      <c r="G43" s="105" t="s">
        <v>66</v>
      </c>
      <c r="H43" s="108">
        <v>1</v>
      </c>
      <c r="I43" s="105" t="s">
        <v>154</v>
      </c>
      <c r="J43" s="105" t="s">
        <v>19</v>
      </c>
      <c r="K43" s="109">
        <v>46258</v>
      </c>
      <c r="L43" s="105" t="s">
        <v>66</v>
      </c>
      <c r="M43" s="105" t="s">
        <v>174</v>
      </c>
      <c r="N43" s="109">
        <v>46258</v>
      </c>
      <c r="O43" s="105" t="s">
        <v>233</v>
      </c>
      <c r="P43" s="88"/>
      <c r="Q43" s="45" t="s">
        <v>174</v>
      </c>
    </row>
    <row r="44" spans="1:17">
      <c r="A44" s="50" t="s">
        <v>240</v>
      </c>
      <c r="B44" s="45" t="s">
        <v>74</v>
      </c>
      <c r="C44" s="45" t="s">
        <v>29</v>
      </c>
      <c r="D44" s="46">
        <v>150000</v>
      </c>
      <c r="E44" s="47">
        <v>0.03</v>
      </c>
      <c r="F44" s="46">
        <f t="shared" ref="F44:F51" si="1">E44*D44</f>
        <v>4500</v>
      </c>
      <c r="G44" s="45" t="s">
        <v>17</v>
      </c>
      <c r="H44" s="48">
        <v>1</v>
      </c>
      <c r="I44" s="45" t="s">
        <v>286</v>
      </c>
      <c r="J44" s="45" t="s">
        <v>19</v>
      </c>
      <c r="K44" s="49">
        <v>46258</v>
      </c>
      <c r="L44" s="45" t="s">
        <v>66</v>
      </c>
      <c r="M44" s="45" t="s">
        <v>174</v>
      </c>
      <c r="N44" s="49">
        <v>46258</v>
      </c>
      <c r="O44" s="45" t="s">
        <v>175</v>
      </c>
      <c r="P44" s="45" t="s">
        <v>449</v>
      </c>
      <c r="Q44" s="50" t="s">
        <v>174</v>
      </c>
    </row>
    <row r="45" spans="1:17">
      <c r="A45" s="45" t="s">
        <v>240</v>
      </c>
      <c r="B45" s="50" t="s">
        <v>74</v>
      </c>
      <c r="C45" s="50" t="s">
        <v>29</v>
      </c>
      <c r="D45" s="51">
        <v>480300</v>
      </c>
      <c r="E45" s="52">
        <v>1.4999999999999999E-2</v>
      </c>
      <c r="F45" s="46">
        <f t="shared" si="1"/>
        <v>7204.5</v>
      </c>
      <c r="G45" s="50" t="s">
        <v>17</v>
      </c>
      <c r="H45" s="53">
        <v>1</v>
      </c>
      <c r="I45" s="50" t="s">
        <v>18</v>
      </c>
      <c r="J45" s="50" t="s">
        <v>19</v>
      </c>
      <c r="K45" s="54">
        <v>46258</v>
      </c>
      <c r="L45" s="50" t="s">
        <v>66</v>
      </c>
      <c r="M45" s="50" t="s">
        <v>188</v>
      </c>
      <c r="N45" s="54">
        <v>46259</v>
      </c>
      <c r="O45" s="50"/>
      <c r="P45" s="50" t="s">
        <v>450</v>
      </c>
      <c r="Q45" s="45" t="s">
        <v>188</v>
      </c>
    </row>
    <row r="46" spans="1:17">
      <c r="A46" s="50" t="s">
        <v>344</v>
      </c>
      <c r="B46" s="111" t="s">
        <v>143</v>
      </c>
      <c r="C46" s="111" t="s">
        <v>16</v>
      </c>
      <c r="D46" s="112">
        <v>1000000</v>
      </c>
      <c r="E46" s="113">
        <v>0.02</v>
      </c>
      <c r="F46" s="110">
        <f t="shared" si="1"/>
        <v>20000</v>
      </c>
      <c r="G46" s="111" t="s">
        <v>26</v>
      </c>
      <c r="H46" s="114">
        <v>1</v>
      </c>
      <c r="I46" s="111" t="s">
        <v>53</v>
      </c>
      <c r="J46" s="111" t="s">
        <v>19</v>
      </c>
      <c r="K46" s="115">
        <v>46258</v>
      </c>
      <c r="L46" s="111" t="s">
        <v>66</v>
      </c>
      <c r="M46" s="111" t="s">
        <v>174</v>
      </c>
      <c r="N46" s="115">
        <v>46259</v>
      </c>
      <c r="O46" s="111" t="s">
        <v>233</v>
      </c>
      <c r="P46" s="111"/>
      <c r="Q46" s="50" t="s">
        <v>174</v>
      </c>
    </row>
    <row r="47" spans="1:17">
      <c r="A47" s="45" t="s">
        <v>344</v>
      </c>
      <c r="B47" s="45" t="s">
        <v>122</v>
      </c>
      <c r="C47" s="45" t="s">
        <v>42</v>
      </c>
      <c r="D47" s="46">
        <v>200000</v>
      </c>
      <c r="E47" s="47">
        <v>0.05</v>
      </c>
      <c r="F47" s="46">
        <f t="shared" si="1"/>
        <v>10000</v>
      </c>
      <c r="G47" s="45" t="s">
        <v>66</v>
      </c>
      <c r="H47" s="48">
        <v>1</v>
      </c>
      <c r="I47" s="45" t="s">
        <v>18</v>
      </c>
      <c r="J47" s="45" t="s">
        <v>19</v>
      </c>
      <c r="K47" s="49">
        <v>46254</v>
      </c>
      <c r="L47" s="45" t="s">
        <v>66</v>
      </c>
      <c r="M47" s="45" t="s">
        <v>174</v>
      </c>
      <c r="N47" s="49"/>
      <c r="O47" s="45" t="s">
        <v>238</v>
      </c>
      <c r="P47" s="45"/>
      <c r="Q47" s="45" t="s">
        <v>174</v>
      </c>
    </row>
    <row r="48" spans="1:17">
      <c r="A48" s="50" t="s">
        <v>344</v>
      </c>
      <c r="B48" s="88" t="s">
        <v>50</v>
      </c>
      <c r="C48" s="88" t="s">
        <v>16</v>
      </c>
      <c r="D48" s="89">
        <v>300000</v>
      </c>
      <c r="E48" s="90">
        <v>0.02</v>
      </c>
      <c r="F48" s="89">
        <f t="shared" si="1"/>
        <v>6000</v>
      </c>
      <c r="G48" s="88" t="s">
        <v>66</v>
      </c>
      <c r="H48" s="91">
        <v>1</v>
      </c>
      <c r="I48" s="88" t="s">
        <v>107</v>
      </c>
      <c r="J48" s="88" t="s">
        <v>19</v>
      </c>
      <c r="K48" s="92">
        <v>46251</v>
      </c>
      <c r="L48" s="88" t="s">
        <v>66</v>
      </c>
      <c r="M48" s="88" t="s">
        <v>174</v>
      </c>
      <c r="N48" s="92"/>
      <c r="O48" s="88" t="s">
        <v>244</v>
      </c>
      <c r="P48" s="88"/>
      <c r="Q48" s="50" t="s">
        <v>174</v>
      </c>
    </row>
    <row r="49" spans="1:17">
      <c r="A49" s="45" t="s">
        <v>344</v>
      </c>
      <c r="B49" s="88" t="s">
        <v>155</v>
      </c>
      <c r="C49" s="88" t="s">
        <v>16</v>
      </c>
      <c r="D49" s="89">
        <v>1000000</v>
      </c>
      <c r="E49" s="90">
        <v>2.5000000000000001E-2</v>
      </c>
      <c r="F49" s="89">
        <f t="shared" si="1"/>
        <v>25000</v>
      </c>
      <c r="G49" s="88" t="s">
        <v>66</v>
      </c>
      <c r="H49" s="91">
        <v>1</v>
      </c>
      <c r="I49" s="88" t="s">
        <v>154</v>
      </c>
      <c r="J49" s="88" t="s">
        <v>19</v>
      </c>
      <c r="K49" s="92">
        <v>46257</v>
      </c>
      <c r="L49" s="88" t="s">
        <v>66</v>
      </c>
      <c r="M49" s="88" t="s">
        <v>174</v>
      </c>
      <c r="N49" s="49"/>
      <c r="O49" s="45" t="s">
        <v>233</v>
      </c>
      <c r="P49" s="45"/>
      <c r="Q49" s="45" t="s">
        <v>174</v>
      </c>
    </row>
    <row r="50" spans="1:17">
      <c r="A50" s="50" t="s">
        <v>341</v>
      </c>
      <c r="B50" s="104" t="s">
        <v>451</v>
      </c>
      <c r="C50" s="50" t="s">
        <v>358</v>
      </c>
      <c r="D50" s="51">
        <v>1500000</v>
      </c>
      <c r="E50" s="52">
        <v>0.05</v>
      </c>
      <c r="F50" s="46">
        <f t="shared" si="1"/>
        <v>75000</v>
      </c>
      <c r="G50" s="50" t="s">
        <v>26</v>
      </c>
      <c r="H50" s="53">
        <v>1</v>
      </c>
      <c r="I50" s="50" t="s">
        <v>18</v>
      </c>
      <c r="J50" s="50" t="s">
        <v>180</v>
      </c>
      <c r="K50" s="49">
        <v>46254</v>
      </c>
      <c r="L50" s="45" t="s">
        <v>20</v>
      </c>
      <c r="M50" s="45" t="s">
        <v>174</v>
      </c>
      <c r="N50" s="54"/>
      <c r="O50" s="50"/>
      <c r="P50" s="50" t="s">
        <v>196</v>
      </c>
      <c r="Q50" s="50" t="s">
        <v>174</v>
      </c>
    </row>
    <row r="51" spans="1:17">
      <c r="A51" s="45" t="s">
        <v>341</v>
      </c>
      <c r="B51" s="45" t="s">
        <v>452</v>
      </c>
      <c r="C51" s="45" t="s">
        <v>55</v>
      </c>
      <c r="D51" s="46">
        <v>1000000</v>
      </c>
      <c r="E51" s="47">
        <v>0.03</v>
      </c>
      <c r="F51" s="46">
        <f t="shared" si="1"/>
        <v>30000</v>
      </c>
      <c r="G51" s="45" t="s">
        <v>26</v>
      </c>
      <c r="H51" s="48">
        <v>1</v>
      </c>
      <c r="I51" s="45" t="s">
        <v>30</v>
      </c>
      <c r="J51" s="45" t="s">
        <v>180</v>
      </c>
      <c r="K51" s="49">
        <v>46254</v>
      </c>
      <c r="L51" s="45" t="s">
        <v>20</v>
      </c>
      <c r="M51" s="45" t="s">
        <v>174</v>
      </c>
      <c r="N51" s="49"/>
      <c r="O51" s="45"/>
      <c r="P51" s="50" t="s">
        <v>196</v>
      </c>
      <c r="Q51" s="45" t="s">
        <v>174</v>
      </c>
    </row>
    <row r="52" spans="1:17">
      <c r="A52" s="50" t="s">
        <v>341</v>
      </c>
      <c r="B52" s="45" t="s">
        <v>452</v>
      </c>
      <c r="C52" s="45" t="s">
        <v>55</v>
      </c>
      <c r="D52" s="46">
        <v>1000000</v>
      </c>
      <c r="E52" s="47">
        <v>0.03</v>
      </c>
      <c r="F52" s="46">
        <f>E52*D52</f>
        <v>30000</v>
      </c>
      <c r="G52" s="45" t="s">
        <v>26</v>
      </c>
      <c r="H52" s="48">
        <v>1</v>
      </c>
      <c r="I52" s="45" t="s">
        <v>18</v>
      </c>
      <c r="J52" s="45" t="s">
        <v>180</v>
      </c>
      <c r="K52" s="49">
        <v>46254</v>
      </c>
      <c r="L52" s="45" t="s">
        <v>20</v>
      </c>
      <c r="M52" s="45" t="s">
        <v>174</v>
      </c>
      <c r="N52" s="54"/>
      <c r="O52" s="50"/>
      <c r="P52" s="50"/>
      <c r="Q52" s="50" t="s">
        <v>174</v>
      </c>
    </row>
    <row r="53" spans="1:17">
      <c r="A53" s="45" t="s">
        <v>343</v>
      </c>
      <c r="B53" s="50" t="s">
        <v>428</v>
      </c>
      <c r="C53" s="50" t="s">
        <v>29</v>
      </c>
      <c r="D53" s="51">
        <v>7000000</v>
      </c>
      <c r="E53" s="52">
        <v>6.6666659999999999E-3</v>
      </c>
      <c r="F53" s="46">
        <f t="shared" ref="F53:F58" si="2">E53*D53</f>
        <v>46666.661999999997</v>
      </c>
      <c r="G53" s="50" t="s">
        <v>17</v>
      </c>
      <c r="H53" s="53">
        <v>1</v>
      </c>
      <c r="I53" s="50" t="s">
        <v>125</v>
      </c>
      <c r="J53" s="76" t="s">
        <v>453</v>
      </c>
      <c r="K53" s="70">
        <v>46258</v>
      </c>
      <c r="L53" s="50" t="s">
        <v>66</v>
      </c>
      <c r="M53" s="45" t="s">
        <v>188</v>
      </c>
      <c r="N53" s="49">
        <v>46262</v>
      </c>
      <c r="O53" s="50"/>
      <c r="P53" s="50" t="s">
        <v>454</v>
      </c>
      <c r="Q53" s="45" t="s">
        <v>188</v>
      </c>
    </row>
    <row r="54" spans="1:17">
      <c r="A54" s="50" t="s">
        <v>344</v>
      </c>
      <c r="B54" s="45" t="s">
        <v>50</v>
      </c>
      <c r="C54" s="45" t="s">
        <v>16</v>
      </c>
      <c r="D54" s="46">
        <v>500000</v>
      </c>
      <c r="E54" s="47">
        <v>0.02</v>
      </c>
      <c r="F54" s="46">
        <f t="shared" si="2"/>
        <v>10000</v>
      </c>
      <c r="G54" s="45" t="s">
        <v>66</v>
      </c>
      <c r="H54" s="48">
        <v>1</v>
      </c>
      <c r="I54" s="45" t="s">
        <v>154</v>
      </c>
      <c r="J54" s="45" t="s">
        <v>19</v>
      </c>
      <c r="K54" s="49">
        <v>46259</v>
      </c>
      <c r="L54" s="45" t="s">
        <v>134</v>
      </c>
      <c r="M54" s="45" t="s">
        <v>174</v>
      </c>
      <c r="N54" s="49"/>
      <c r="O54" s="45" t="s">
        <v>175</v>
      </c>
      <c r="P54" s="45" t="s">
        <v>455</v>
      </c>
      <c r="Q54" s="50" t="s">
        <v>174</v>
      </c>
    </row>
    <row r="55" spans="1:17">
      <c r="A55" s="45" t="s">
        <v>343</v>
      </c>
      <c r="B55" s="45" t="s">
        <v>43</v>
      </c>
      <c r="C55" s="45" t="s">
        <v>16</v>
      </c>
      <c r="D55" s="46">
        <v>200000</v>
      </c>
      <c r="E55" s="47">
        <v>0.03</v>
      </c>
      <c r="F55" s="46">
        <f t="shared" si="2"/>
        <v>6000</v>
      </c>
      <c r="G55" s="45" t="s">
        <v>26</v>
      </c>
      <c r="H55" s="48">
        <v>1</v>
      </c>
      <c r="I55" s="45" t="s">
        <v>107</v>
      </c>
      <c r="J55" s="45" t="s">
        <v>19</v>
      </c>
      <c r="K55" s="49">
        <v>46258</v>
      </c>
      <c r="L55" s="45" t="s">
        <v>66</v>
      </c>
      <c r="M55" s="45" t="s">
        <v>188</v>
      </c>
      <c r="N55" s="49">
        <v>46267</v>
      </c>
      <c r="O55" s="45"/>
      <c r="P55" s="45"/>
      <c r="Q55" s="45" t="s">
        <v>188</v>
      </c>
    </row>
    <row r="56" spans="1:17">
      <c r="A56" s="50" t="s">
        <v>344</v>
      </c>
      <c r="B56" s="50" t="s">
        <v>49</v>
      </c>
      <c r="C56" s="50" t="s">
        <v>16</v>
      </c>
      <c r="D56" s="51">
        <v>1000000</v>
      </c>
      <c r="E56" s="52"/>
      <c r="F56" s="46">
        <f t="shared" si="2"/>
        <v>0</v>
      </c>
      <c r="G56" s="50" t="s">
        <v>66</v>
      </c>
      <c r="H56" s="53">
        <v>1</v>
      </c>
      <c r="I56" s="50" t="s">
        <v>44</v>
      </c>
      <c r="J56" s="50" t="s">
        <v>19</v>
      </c>
      <c r="K56" s="54">
        <v>46266</v>
      </c>
      <c r="L56" s="50" t="s">
        <v>66</v>
      </c>
      <c r="M56" s="50" t="s">
        <v>174</v>
      </c>
      <c r="N56" s="54"/>
      <c r="O56" s="50"/>
      <c r="P56" s="50"/>
      <c r="Q56" s="50" t="s">
        <v>174</v>
      </c>
    </row>
    <row r="57" spans="1:17">
      <c r="A57" s="45" t="s">
        <v>344</v>
      </c>
      <c r="B57" s="50" t="s">
        <v>49</v>
      </c>
      <c r="C57" s="50" t="s">
        <v>16</v>
      </c>
      <c r="D57" s="51">
        <v>1000000</v>
      </c>
      <c r="E57" s="52"/>
      <c r="F57" s="46">
        <f t="shared" si="2"/>
        <v>0</v>
      </c>
      <c r="G57" s="50" t="s">
        <v>66</v>
      </c>
      <c r="H57" s="53">
        <v>1</v>
      </c>
      <c r="I57" s="50" t="s">
        <v>107</v>
      </c>
      <c r="J57" s="50" t="s">
        <v>19</v>
      </c>
      <c r="K57" s="54">
        <v>46266</v>
      </c>
      <c r="L57" s="50" t="s">
        <v>26</v>
      </c>
      <c r="M57" s="50" t="s">
        <v>174</v>
      </c>
      <c r="N57" s="54"/>
      <c r="O57" s="50"/>
      <c r="P57" s="50"/>
      <c r="Q57" s="45" t="s">
        <v>174</v>
      </c>
    </row>
    <row r="58" spans="1:17">
      <c r="A58" s="50" t="s">
        <v>240</v>
      </c>
      <c r="B58" s="50" t="s">
        <v>456</v>
      </c>
      <c r="C58" s="50" t="s">
        <v>29</v>
      </c>
      <c r="D58" s="51">
        <v>210000</v>
      </c>
      <c r="E58" s="52">
        <v>2.5000000000000001E-2</v>
      </c>
      <c r="F58" s="46">
        <f t="shared" si="2"/>
        <v>5250</v>
      </c>
      <c r="G58" s="50" t="s">
        <v>66</v>
      </c>
      <c r="H58" s="53">
        <v>1</v>
      </c>
      <c r="I58" s="45" t="s">
        <v>325</v>
      </c>
      <c r="J58" s="50" t="s">
        <v>19</v>
      </c>
      <c r="K58" s="54">
        <v>46266</v>
      </c>
      <c r="L58" s="50" t="s">
        <v>66</v>
      </c>
      <c r="M58" s="50" t="s">
        <v>174</v>
      </c>
      <c r="N58" s="54">
        <v>46266</v>
      </c>
      <c r="O58" s="50" t="s">
        <v>175</v>
      </c>
      <c r="P58" s="50" t="s">
        <v>457</v>
      </c>
      <c r="Q58" s="50" t="s">
        <v>174</v>
      </c>
    </row>
    <row r="59" spans="1:17">
      <c r="A59" s="45" t="s">
        <v>240</v>
      </c>
      <c r="B59" s="50" t="s">
        <v>456</v>
      </c>
      <c r="C59" s="50" t="s">
        <v>29</v>
      </c>
      <c r="D59" s="51">
        <v>300000</v>
      </c>
      <c r="E59" s="52">
        <v>2.5000000000000001E-2</v>
      </c>
      <c r="F59" s="46">
        <f>E59*D59</f>
        <v>7500</v>
      </c>
      <c r="G59" s="50" t="s">
        <v>66</v>
      </c>
      <c r="H59" s="53">
        <v>1</v>
      </c>
      <c r="I59" s="45" t="s">
        <v>30</v>
      </c>
      <c r="J59" s="50" t="s">
        <v>19</v>
      </c>
      <c r="K59" s="54">
        <v>46258</v>
      </c>
      <c r="L59" s="50" t="s">
        <v>66</v>
      </c>
      <c r="M59" s="50" t="s">
        <v>174</v>
      </c>
      <c r="N59" s="54">
        <v>46266</v>
      </c>
      <c r="O59" s="50" t="s">
        <v>175</v>
      </c>
      <c r="P59" s="50" t="s">
        <v>457</v>
      </c>
      <c r="Q59" s="45" t="s">
        <v>174</v>
      </c>
    </row>
    <row r="60" spans="1:17">
      <c r="A60" s="50" t="s">
        <v>240</v>
      </c>
      <c r="B60" s="45" t="s">
        <v>94</v>
      </c>
      <c r="C60" s="45" t="s">
        <v>16</v>
      </c>
      <c r="D60" s="46">
        <v>500000</v>
      </c>
      <c r="E60" s="47">
        <v>0.02</v>
      </c>
      <c r="F60" s="46">
        <f t="shared" ref="F60:F74" si="3">E60*D60</f>
        <v>10000</v>
      </c>
      <c r="G60" s="45" t="s">
        <v>48</v>
      </c>
      <c r="H60" s="48">
        <v>1</v>
      </c>
      <c r="I60" s="45" t="s">
        <v>107</v>
      </c>
      <c r="J60" s="45" t="s">
        <v>19</v>
      </c>
      <c r="K60" s="49">
        <v>46274</v>
      </c>
      <c r="L60" s="45" t="s">
        <v>66</v>
      </c>
      <c r="M60" s="45" t="s">
        <v>174</v>
      </c>
      <c r="N60" s="49">
        <v>46274</v>
      </c>
      <c r="O60" s="45" t="s">
        <v>175</v>
      </c>
      <c r="P60" s="45" t="s">
        <v>458</v>
      </c>
      <c r="Q60" s="50" t="s">
        <v>174</v>
      </c>
    </row>
    <row r="61" spans="1:17">
      <c r="A61" s="45" t="s">
        <v>240</v>
      </c>
      <c r="B61" s="50" t="s">
        <v>459</v>
      </c>
      <c r="C61" s="50" t="s">
        <v>29</v>
      </c>
      <c r="D61" s="51">
        <v>300000</v>
      </c>
      <c r="E61" s="52">
        <v>0.04</v>
      </c>
      <c r="F61" s="46">
        <f t="shared" si="3"/>
        <v>12000</v>
      </c>
      <c r="G61" s="50" t="s">
        <v>26</v>
      </c>
      <c r="H61" s="53">
        <v>1</v>
      </c>
      <c r="I61" s="50" t="s">
        <v>30</v>
      </c>
      <c r="J61" s="50" t="s">
        <v>19</v>
      </c>
      <c r="K61" s="54">
        <v>46279</v>
      </c>
      <c r="L61" s="50" t="s">
        <v>66</v>
      </c>
      <c r="M61" s="50" t="s">
        <v>174</v>
      </c>
      <c r="N61" s="54">
        <v>46279</v>
      </c>
      <c r="O61" s="50" t="s">
        <v>175</v>
      </c>
      <c r="P61" s="50" t="s">
        <v>460</v>
      </c>
      <c r="Q61" s="45" t="s">
        <v>174</v>
      </c>
    </row>
    <row r="62" spans="1:17">
      <c r="A62" s="50" t="s">
        <v>240</v>
      </c>
      <c r="B62" s="45" t="s">
        <v>459</v>
      </c>
      <c r="C62" s="45" t="s">
        <v>29</v>
      </c>
      <c r="D62" s="46">
        <v>300000</v>
      </c>
      <c r="E62" s="47">
        <v>0.04</v>
      </c>
      <c r="F62" s="46">
        <f t="shared" si="3"/>
        <v>12000</v>
      </c>
      <c r="G62" s="45" t="s">
        <v>26</v>
      </c>
      <c r="H62" s="48">
        <v>1</v>
      </c>
      <c r="I62" s="45" t="s">
        <v>286</v>
      </c>
      <c r="J62" s="45" t="s">
        <v>19</v>
      </c>
      <c r="K62" s="49">
        <v>46279</v>
      </c>
      <c r="L62" s="45" t="s">
        <v>66</v>
      </c>
      <c r="M62" s="45" t="s">
        <v>174</v>
      </c>
      <c r="N62" s="49">
        <v>46279</v>
      </c>
      <c r="O62" s="45" t="s">
        <v>175</v>
      </c>
      <c r="P62" s="45" t="s">
        <v>460</v>
      </c>
      <c r="Q62" s="50" t="s">
        <v>174</v>
      </c>
    </row>
    <row r="63" spans="1:17">
      <c r="A63" s="45" t="s">
        <v>240</v>
      </c>
      <c r="B63" s="50" t="s">
        <v>459</v>
      </c>
      <c r="C63" s="50" t="s">
        <v>29</v>
      </c>
      <c r="D63" s="51">
        <v>300000</v>
      </c>
      <c r="E63" s="52">
        <v>0.04</v>
      </c>
      <c r="F63" s="46">
        <f t="shared" si="3"/>
        <v>12000</v>
      </c>
      <c r="G63" s="50" t="s">
        <v>26</v>
      </c>
      <c r="H63" s="53">
        <v>1</v>
      </c>
      <c r="I63" s="50" t="s">
        <v>18</v>
      </c>
      <c r="J63" s="50" t="s">
        <v>19</v>
      </c>
      <c r="K63" s="54">
        <v>46279</v>
      </c>
      <c r="L63" s="50" t="s">
        <v>66</v>
      </c>
      <c r="M63" s="50" t="s">
        <v>174</v>
      </c>
      <c r="N63" s="54">
        <v>46279</v>
      </c>
      <c r="O63" s="50" t="s">
        <v>175</v>
      </c>
      <c r="P63" s="50" t="s">
        <v>460</v>
      </c>
      <c r="Q63" s="45" t="s">
        <v>174</v>
      </c>
    </row>
    <row r="64" spans="1:17">
      <c r="A64" s="50" t="s">
        <v>240</v>
      </c>
      <c r="B64" s="50" t="s">
        <v>24</v>
      </c>
      <c r="C64" s="50" t="s">
        <v>83</v>
      </c>
      <c r="D64" s="51">
        <v>4500000</v>
      </c>
      <c r="E64" s="52">
        <v>1.4999999999999999E-2</v>
      </c>
      <c r="F64" s="46">
        <f t="shared" si="3"/>
        <v>67500</v>
      </c>
      <c r="G64" s="50" t="s">
        <v>66</v>
      </c>
      <c r="H64" s="53">
        <v>1</v>
      </c>
      <c r="I64" s="50" t="s">
        <v>84</v>
      </c>
      <c r="J64" s="50" t="s">
        <v>27</v>
      </c>
      <c r="K64" s="54">
        <v>46279</v>
      </c>
      <c r="L64" s="50" t="s">
        <v>66</v>
      </c>
      <c r="M64" s="50" t="s">
        <v>174</v>
      </c>
      <c r="N64" s="54">
        <v>46279</v>
      </c>
      <c r="O64" s="50" t="s">
        <v>175</v>
      </c>
      <c r="P64" s="50" t="s">
        <v>461</v>
      </c>
      <c r="Q64" s="50" t="s">
        <v>174</v>
      </c>
    </row>
    <row r="65" spans="1:17">
      <c r="A65" s="45" t="s">
        <v>343</v>
      </c>
      <c r="B65" s="45" t="s">
        <v>462</v>
      </c>
      <c r="C65" s="45" t="s">
        <v>237</v>
      </c>
      <c r="D65" s="46">
        <v>30000000</v>
      </c>
      <c r="E65" s="47">
        <v>1.4999999999999999E-2</v>
      </c>
      <c r="F65" s="46">
        <f t="shared" si="3"/>
        <v>450000</v>
      </c>
      <c r="G65" s="45" t="s">
        <v>17</v>
      </c>
      <c r="H65" s="48">
        <v>1</v>
      </c>
      <c r="I65" s="45" t="s">
        <v>293</v>
      </c>
      <c r="J65" s="45" t="s">
        <v>19</v>
      </c>
      <c r="K65" s="49">
        <v>46258</v>
      </c>
      <c r="L65" s="45" t="s">
        <v>66</v>
      </c>
      <c r="M65" s="45" t="s">
        <v>174</v>
      </c>
      <c r="N65" s="49"/>
      <c r="O65" s="45"/>
      <c r="P65" s="45"/>
      <c r="Q65" s="45" t="s">
        <v>174</v>
      </c>
    </row>
    <row r="66" spans="1:17">
      <c r="A66" s="50" t="s">
        <v>240</v>
      </c>
      <c r="B66" s="45" t="s">
        <v>70</v>
      </c>
      <c r="C66" s="45" t="s">
        <v>16</v>
      </c>
      <c r="D66" s="46">
        <v>300000</v>
      </c>
      <c r="E66" s="47">
        <v>0.03</v>
      </c>
      <c r="F66" s="46">
        <f t="shared" si="3"/>
        <v>9000</v>
      </c>
      <c r="G66" s="45" t="s">
        <v>48</v>
      </c>
      <c r="H66" s="48">
        <v>1</v>
      </c>
      <c r="I66" s="45" t="s">
        <v>96</v>
      </c>
      <c r="J66" s="45" t="s">
        <v>19</v>
      </c>
      <c r="K66" s="49">
        <v>46234</v>
      </c>
      <c r="L66" s="45" t="s">
        <v>66</v>
      </c>
      <c r="M66" s="45" t="s">
        <v>174</v>
      </c>
      <c r="N66" s="49"/>
      <c r="O66" s="45"/>
      <c r="P66" s="45" t="s">
        <v>98</v>
      </c>
      <c r="Q66" s="50" t="s">
        <v>174</v>
      </c>
    </row>
    <row r="67" spans="1:17">
      <c r="A67" s="45" t="s">
        <v>344</v>
      </c>
      <c r="B67" s="50" t="s">
        <v>49</v>
      </c>
      <c r="C67" s="50" t="s">
        <v>16</v>
      </c>
      <c r="D67" s="51">
        <v>1000000</v>
      </c>
      <c r="E67" s="52"/>
      <c r="F67" s="46">
        <f t="shared" si="3"/>
        <v>0</v>
      </c>
      <c r="G67" s="50" t="s">
        <v>26</v>
      </c>
      <c r="H67" s="53">
        <v>1</v>
      </c>
      <c r="I67" s="50" t="s">
        <v>44</v>
      </c>
      <c r="J67" s="50" t="s">
        <v>19</v>
      </c>
      <c r="K67" s="54">
        <v>46266</v>
      </c>
      <c r="L67" s="50" t="s">
        <v>26</v>
      </c>
      <c r="M67" s="50" t="s">
        <v>188</v>
      </c>
      <c r="N67" s="54">
        <v>46267</v>
      </c>
      <c r="O67" s="50" t="s">
        <v>244</v>
      </c>
      <c r="P67" s="50"/>
      <c r="Q67" s="45" t="s">
        <v>188</v>
      </c>
    </row>
    <row r="68" spans="1:17">
      <c r="A68" s="50" t="s">
        <v>344</v>
      </c>
      <c r="B68" s="45" t="s">
        <v>49</v>
      </c>
      <c r="C68" s="45" t="s">
        <v>16</v>
      </c>
      <c r="D68" s="46">
        <v>1000000</v>
      </c>
      <c r="E68" s="47"/>
      <c r="F68" s="46">
        <f t="shared" si="3"/>
        <v>0</v>
      </c>
      <c r="G68" s="45" t="s">
        <v>26</v>
      </c>
      <c r="H68" s="48">
        <v>1</v>
      </c>
      <c r="I68" s="45" t="s">
        <v>317</v>
      </c>
      <c r="J68" s="45" t="s">
        <v>19</v>
      </c>
      <c r="K68" s="49">
        <v>46279</v>
      </c>
      <c r="L68" s="45" t="s">
        <v>26</v>
      </c>
      <c r="M68" s="45" t="s">
        <v>188</v>
      </c>
      <c r="N68" s="49">
        <v>46281</v>
      </c>
      <c r="O68" s="45" t="s">
        <v>244</v>
      </c>
      <c r="P68" s="45"/>
      <c r="Q68" s="50" t="s">
        <v>188</v>
      </c>
    </row>
    <row r="69" spans="1:17">
      <c r="A69" s="45" t="s">
        <v>344</v>
      </c>
      <c r="B69" s="93" t="s">
        <v>448</v>
      </c>
      <c r="C69" s="93" t="s">
        <v>114</v>
      </c>
      <c r="D69" s="94">
        <v>8000</v>
      </c>
      <c r="E69" s="95"/>
      <c r="F69" s="89">
        <f t="shared" si="3"/>
        <v>0</v>
      </c>
      <c r="G69" s="93" t="s">
        <v>66</v>
      </c>
      <c r="H69" s="96">
        <v>1</v>
      </c>
      <c r="I69" s="93" t="s">
        <v>39</v>
      </c>
      <c r="J69" s="93" t="s">
        <v>19</v>
      </c>
      <c r="K69" s="97">
        <v>46251</v>
      </c>
      <c r="L69" s="93" t="s">
        <v>66</v>
      </c>
      <c r="M69" s="93" t="s">
        <v>174</v>
      </c>
      <c r="N69" s="97"/>
      <c r="O69" s="93"/>
      <c r="P69" s="93" t="s">
        <v>463</v>
      </c>
      <c r="Q69" s="45" t="s">
        <v>174</v>
      </c>
    </row>
    <row r="70" spans="1:17">
      <c r="A70" s="50" t="s">
        <v>343</v>
      </c>
      <c r="B70" s="45" t="s">
        <v>464</v>
      </c>
      <c r="C70" s="45" t="s">
        <v>16</v>
      </c>
      <c r="D70" s="46">
        <v>8000000</v>
      </c>
      <c r="E70" s="47">
        <v>1.4999999999999999E-2</v>
      </c>
      <c r="F70" s="46">
        <f t="shared" si="3"/>
        <v>120000</v>
      </c>
      <c r="G70" s="45" t="s">
        <v>17</v>
      </c>
      <c r="H70" s="48">
        <v>1</v>
      </c>
      <c r="I70" s="45" t="s">
        <v>18</v>
      </c>
      <c r="J70" s="45" t="s">
        <v>56</v>
      </c>
      <c r="K70" s="49">
        <v>46258</v>
      </c>
      <c r="L70" s="45" t="s">
        <v>66</v>
      </c>
      <c r="M70" s="45" t="s">
        <v>174</v>
      </c>
      <c r="N70" s="49"/>
      <c r="O70" s="45"/>
      <c r="P70" s="45" t="s">
        <v>465</v>
      </c>
      <c r="Q70" s="50" t="s">
        <v>174</v>
      </c>
    </row>
    <row r="71" spans="1:17">
      <c r="A71" s="45" t="s">
        <v>341</v>
      </c>
      <c r="B71" s="50" t="s">
        <v>466</v>
      </c>
      <c r="C71" s="45" t="s">
        <v>42</v>
      </c>
      <c r="D71" s="46">
        <v>500000</v>
      </c>
      <c r="E71" s="52">
        <v>0.15</v>
      </c>
      <c r="F71" s="46">
        <f t="shared" si="3"/>
        <v>75000</v>
      </c>
      <c r="G71" s="50" t="s">
        <v>17</v>
      </c>
      <c r="H71" s="53">
        <v>1</v>
      </c>
      <c r="I71" s="45" t="s">
        <v>18</v>
      </c>
      <c r="J71" s="45" t="s">
        <v>202</v>
      </c>
      <c r="K71" s="54">
        <v>46274</v>
      </c>
      <c r="L71" s="50" t="s">
        <v>20</v>
      </c>
      <c r="M71" s="45" t="s">
        <v>174</v>
      </c>
      <c r="N71" s="54"/>
      <c r="O71" s="50"/>
      <c r="P71" s="50" t="s">
        <v>196</v>
      </c>
      <c r="Q71" s="45" t="s">
        <v>174</v>
      </c>
    </row>
    <row r="72" spans="1:17">
      <c r="A72" s="50" t="s">
        <v>341</v>
      </c>
      <c r="B72" s="45" t="s">
        <v>467</v>
      </c>
      <c r="C72" s="45" t="s">
        <v>42</v>
      </c>
      <c r="D72" s="46">
        <v>500000</v>
      </c>
      <c r="E72" s="47">
        <v>0.15</v>
      </c>
      <c r="F72" s="46">
        <f t="shared" si="3"/>
        <v>75000</v>
      </c>
      <c r="G72" s="45" t="s">
        <v>17</v>
      </c>
      <c r="H72" s="48">
        <v>1</v>
      </c>
      <c r="I72" s="45" t="s">
        <v>18</v>
      </c>
      <c r="J72" s="45" t="s">
        <v>202</v>
      </c>
      <c r="K72" s="54">
        <v>46274</v>
      </c>
      <c r="L72" s="45" t="s">
        <v>20</v>
      </c>
      <c r="M72" s="45" t="s">
        <v>174</v>
      </c>
      <c r="N72" s="49"/>
      <c r="O72" s="45"/>
      <c r="P72" s="50" t="s">
        <v>196</v>
      </c>
      <c r="Q72" s="50" t="s">
        <v>174</v>
      </c>
    </row>
    <row r="73" spans="1:17" ht="39.6">
      <c r="A73" s="45" t="s">
        <v>342</v>
      </c>
      <c r="B73" s="69" t="s">
        <v>468</v>
      </c>
      <c r="C73" s="50" t="s">
        <v>29</v>
      </c>
      <c r="D73" s="51">
        <v>1000000</v>
      </c>
      <c r="E73" s="52">
        <v>0.02</v>
      </c>
      <c r="F73" s="46">
        <f t="shared" si="3"/>
        <v>20000</v>
      </c>
      <c r="G73" s="50" t="s">
        <v>48</v>
      </c>
      <c r="H73" s="53">
        <v>1</v>
      </c>
      <c r="I73" s="50" t="s">
        <v>107</v>
      </c>
      <c r="J73" s="50"/>
      <c r="K73" s="54">
        <v>46238</v>
      </c>
      <c r="L73" s="50" t="s">
        <v>137</v>
      </c>
      <c r="M73" s="50" t="s">
        <v>174</v>
      </c>
      <c r="N73" s="54"/>
      <c r="O73" s="50"/>
      <c r="P73" s="50"/>
      <c r="Q73" s="45" t="s">
        <v>174</v>
      </c>
    </row>
    <row r="74" spans="1:17" ht="39.6">
      <c r="A74" s="50" t="s">
        <v>342</v>
      </c>
      <c r="B74" s="69" t="s">
        <v>468</v>
      </c>
      <c r="C74" s="45" t="s">
        <v>16</v>
      </c>
      <c r="D74" s="46">
        <v>800000</v>
      </c>
      <c r="E74" s="47">
        <v>0.02</v>
      </c>
      <c r="F74" s="46">
        <f t="shared" si="3"/>
        <v>16000</v>
      </c>
      <c r="G74" s="45" t="s">
        <v>48</v>
      </c>
      <c r="H74" s="48">
        <v>1</v>
      </c>
      <c r="I74" s="45" t="s">
        <v>107</v>
      </c>
      <c r="J74" s="45"/>
      <c r="K74" s="49">
        <v>46238</v>
      </c>
      <c r="L74" s="45" t="s">
        <v>137</v>
      </c>
      <c r="M74" s="45" t="s">
        <v>174</v>
      </c>
      <c r="N74" s="49"/>
      <c r="O74" s="45" t="s">
        <v>175</v>
      </c>
      <c r="P74" s="45" t="s">
        <v>469</v>
      </c>
      <c r="Q74" s="50" t="s">
        <v>174</v>
      </c>
    </row>
    <row r="75" spans="1:17">
      <c r="A75" s="45" t="s">
        <v>240</v>
      </c>
      <c r="B75" s="45" t="s">
        <v>97</v>
      </c>
      <c r="C75" s="45" t="s">
        <v>16</v>
      </c>
      <c r="D75" s="46">
        <v>5000000</v>
      </c>
      <c r="E75" s="47">
        <v>0.03</v>
      </c>
      <c r="F75" s="46">
        <f>E75*D75</f>
        <v>150000</v>
      </c>
      <c r="G75" s="45" t="s">
        <v>26</v>
      </c>
      <c r="H75" s="48">
        <v>1</v>
      </c>
      <c r="I75" s="45" t="s">
        <v>286</v>
      </c>
      <c r="J75" s="45" t="s">
        <v>19</v>
      </c>
      <c r="K75" s="49">
        <v>46287</v>
      </c>
      <c r="L75" s="45" t="s">
        <v>26</v>
      </c>
      <c r="M75" s="45" t="s">
        <v>174</v>
      </c>
      <c r="N75" s="49">
        <v>46287</v>
      </c>
      <c r="O75" s="45" t="s">
        <v>175</v>
      </c>
      <c r="P75" s="45" t="s">
        <v>470</v>
      </c>
      <c r="Q75" s="45" t="s">
        <v>174</v>
      </c>
    </row>
    <row r="76" spans="1:17">
      <c r="A76" s="50" t="s">
        <v>240</v>
      </c>
      <c r="B76" s="45" t="s">
        <v>97</v>
      </c>
      <c r="C76" s="45" t="s">
        <v>16</v>
      </c>
      <c r="D76" s="46">
        <v>5000000</v>
      </c>
      <c r="E76" s="47">
        <v>0.03</v>
      </c>
      <c r="F76" s="46">
        <f>E76*D76</f>
        <v>150000</v>
      </c>
      <c r="G76" s="45" t="s">
        <v>26</v>
      </c>
      <c r="H76" s="48">
        <v>1</v>
      </c>
      <c r="I76" s="45" t="s">
        <v>203</v>
      </c>
      <c r="J76" s="45" t="s">
        <v>19</v>
      </c>
      <c r="K76" s="49">
        <v>46287</v>
      </c>
      <c r="L76" s="45" t="s">
        <v>66</v>
      </c>
      <c r="M76" s="45" t="s">
        <v>174</v>
      </c>
      <c r="N76" s="49">
        <v>46258</v>
      </c>
      <c r="O76" s="45" t="s">
        <v>175</v>
      </c>
      <c r="P76" s="45" t="s">
        <v>471</v>
      </c>
      <c r="Q76" s="50" t="s">
        <v>174</v>
      </c>
    </row>
    <row r="77" spans="1:17">
      <c r="A77" s="45" t="s">
        <v>240</v>
      </c>
      <c r="B77" s="50" t="s">
        <v>456</v>
      </c>
      <c r="C77" s="50" t="s">
        <v>29</v>
      </c>
      <c r="D77" s="51">
        <v>300000</v>
      </c>
      <c r="E77" s="52">
        <v>2.5000000000000001E-2</v>
      </c>
      <c r="F77" s="46">
        <f>E77*D77</f>
        <v>7500</v>
      </c>
      <c r="G77" s="50" t="s">
        <v>17</v>
      </c>
      <c r="H77" s="53">
        <v>1</v>
      </c>
      <c r="I77" s="45" t="s">
        <v>18</v>
      </c>
      <c r="J77" s="50" t="s">
        <v>19</v>
      </c>
      <c r="K77" s="54">
        <v>46287</v>
      </c>
      <c r="L77" s="50" t="s">
        <v>66</v>
      </c>
      <c r="M77" s="50" t="s">
        <v>174</v>
      </c>
      <c r="N77" s="54"/>
      <c r="O77" s="50"/>
      <c r="P77" s="50" t="s">
        <v>472</v>
      </c>
      <c r="Q77" s="45" t="s">
        <v>174</v>
      </c>
    </row>
    <row r="78" spans="1:17">
      <c r="A78" s="50" t="s">
        <v>240</v>
      </c>
      <c r="B78" s="50" t="s">
        <v>86</v>
      </c>
      <c r="C78" s="50" t="s">
        <v>83</v>
      </c>
      <c r="D78" s="51">
        <v>9000000</v>
      </c>
      <c r="E78" s="52">
        <v>0.01</v>
      </c>
      <c r="F78" s="46">
        <f>E78*D78</f>
        <v>90000</v>
      </c>
      <c r="G78" s="50" t="s">
        <v>66</v>
      </c>
      <c r="H78" s="53">
        <v>1</v>
      </c>
      <c r="I78" s="50" t="s">
        <v>84</v>
      </c>
      <c r="J78" s="50" t="s">
        <v>27</v>
      </c>
      <c r="K78" s="54">
        <v>46287</v>
      </c>
      <c r="L78" s="50" t="s">
        <v>66</v>
      </c>
      <c r="M78" s="50" t="s">
        <v>174</v>
      </c>
      <c r="N78" s="54">
        <v>46287</v>
      </c>
      <c r="O78" s="50" t="s">
        <v>175</v>
      </c>
      <c r="P78" s="50" t="s">
        <v>473</v>
      </c>
      <c r="Q78" s="50" t="s">
        <v>174</v>
      </c>
    </row>
    <row r="79" spans="1:17" ht="15">
      <c r="A79" s="45" t="s">
        <v>344</v>
      </c>
      <c r="B79" s="105" t="s">
        <v>50</v>
      </c>
      <c r="C79" s="105" t="s">
        <v>16</v>
      </c>
      <c r="D79" s="106">
        <v>1000000</v>
      </c>
      <c r="E79" s="107">
        <v>0.02</v>
      </c>
      <c r="F79" s="106">
        <f>E79*D79</f>
        <v>20000</v>
      </c>
      <c r="G79" s="105" t="s">
        <v>66</v>
      </c>
      <c r="H79" s="108">
        <v>1</v>
      </c>
      <c r="I79" s="105" t="s">
        <v>317</v>
      </c>
      <c r="J79" s="105" t="s">
        <v>19</v>
      </c>
      <c r="K79" s="109">
        <v>46286</v>
      </c>
      <c r="L79" s="105" t="s">
        <v>66</v>
      </c>
      <c r="M79" s="105" t="s">
        <v>174</v>
      </c>
      <c r="N79" s="109">
        <v>46286</v>
      </c>
      <c r="O79" s="105" t="s">
        <v>175</v>
      </c>
      <c r="P79" s="105" t="s">
        <v>474</v>
      </c>
      <c r="Q79" s="45" t="s">
        <v>174</v>
      </c>
    </row>
    <row r="80" spans="1:17" ht="15">
      <c r="A80" s="50" t="s">
        <v>344</v>
      </c>
      <c r="B80" s="6" t="s">
        <v>155</v>
      </c>
      <c r="C80" s="6" t="s">
        <v>16</v>
      </c>
      <c r="D80" s="118">
        <v>800000</v>
      </c>
      <c r="E80" s="119">
        <v>2.5000000000000001E-2</v>
      </c>
      <c r="F80" s="118">
        <f>E80*D80</f>
        <v>20000</v>
      </c>
      <c r="G80" s="6" t="s">
        <v>66</v>
      </c>
      <c r="H80" s="120">
        <v>1</v>
      </c>
      <c r="I80" s="6" t="s">
        <v>125</v>
      </c>
      <c r="J80" s="6" t="s">
        <v>19</v>
      </c>
      <c r="K80" s="121">
        <v>46254</v>
      </c>
      <c r="L80" s="6" t="s">
        <v>66</v>
      </c>
      <c r="M80" s="6" t="s">
        <v>174</v>
      </c>
      <c r="N80" s="109">
        <v>46283</v>
      </c>
      <c r="O80" s="105" t="s">
        <v>233</v>
      </c>
      <c r="P80" s="105"/>
      <c r="Q80" s="50" t="s">
        <v>174</v>
      </c>
    </row>
    <row r="81" spans="1:17">
      <c r="A81" s="45"/>
      <c r="B81" s="45"/>
      <c r="C81" s="45"/>
      <c r="D81" s="46"/>
      <c r="E81" s="47"/>
      <c r="F81" s="46"/>
      <c r="G81" s="45"/>
      <c r="H81" s="48"/>
      <c r="I81" s="45"/>
      <c r="J81" s="45"/>
      <c r="K81" s="49"/>
      <c r="L81" s="45"/>
      <c r="M81" s="45"/>
      <c r="N81" s="49"/>
      <c r="O81" s="45"/>
      <c r="P81" s="45"/>
      <c r="Q81" s="45"/>
    </row>
    <row r="82" spans="1:17">
      <c r="A82" s="50"/>
      <c r="B82" s="50"/>
      <c r="C82" s="50"/>
      <c r="D82" s="51"/>
      <c r="E82" s="52"/>
      <c r="F82" s="51"/>
      <c r="G82" s="50"/>
      <c r="H82" s="53"/>
      <c r="I82" s="50"/>
      <c r="J82" s="50"/>
      <c r="K82" s="54"/>
      <c r="L82" s="50"/>
      <c r="M82" s="50"/>
      <c r="N82" s="54"/>
      <c r="O82" s="50"/>
      <c r="P82" s="50"/>
      <c r="Q82" s="50"/>
    </row>
    <row r="83" spans="1:17">
      <c r="A83" s="45"/>
      <c r="B83" s="45"/>
      <c r="C83" s="45"/>
      <c r="D83" s="46"/>
      <c r="E83" s="47"/>
      <c r="F83" s="46"/>
      <c r="G83" s="45"/>
      <c r="H83" s="48"/>
      <c r="I83" s="45"/>
      <c r="J83" s="45"/>
      <c r="K83" s="49"/>
      <c r="L83" s="45"/>
      <c r="M83" s="45"/>
      <c r="N83" s="49"/>
      <c r="O83" s="45"/>
      <c r="P83" s="45"/>
      <c r="Q83" s="45"/>
    </row>
    <row r="84" spans="1:17">
      <c r="A84" s="50"/>
      <c r="B84" s="50"/>
      <c r="C84" s="50"/>
      <c r="D84" s="51"/>
      <c r="E84" s="52"/>
      <c r="F84" s="51"/>
      <c r="G84" s="50"/>
      <c r="H84" s="53"/>
      <c r="I84" s="50"/>
      <c r="J84" s="50"/>
      <c r="K84" s="54"/>
      <c r="L84" s="50"/>
      <c r="M84" s="50"/>
      <c r="N84" s="54"/>
      <c r="O84" s="50"/>
      <c r="P84" s="50"/>
      <c r="Q84" s="50"/>
    </row>
    <row r="85" spans="1:17">
      <c r="A85" s="45"/>
      <c r="B85" s="45"/>
      <c r="C85" s="45"/>
      <c r="D85" s="46"/>
      <c r="E85" s="47"/>
      <c r="F85" s="46"/>
      <c r="G85" s="45"/>
      <c r="H85" s="48"/>
      <c r="I85" s="45"/>
      <c r="J85" s="45"/>
      <c r="K85" s="49"/>
      <c r="L85" s="45"/>
      <c r="M85" s="45"/>
      <c r="N85" s="49"/>
      <c r="O85" s="45"/>
      <c r="P85" s="45"/>
      <c r="Q85" s="45"/>
    </row>
    <row r="86" spans="1:17">
      <c r="A86" s="50"/>
      <c r="B86" s="50"/>
      <c r="C86" s="50"/>
      <c r="D86" s="51"/>
      <c r="E86" s="52"/>
      <c r="F86" s="51"/>
      <c r="G86" s="50"/>
      <c r="H86" s="53"/>
      <c r="I86" s="50"/>
      <c r="J86" s="50"/>
      <c r="K86" s="54"/>
      <c r="L86" s="50"/>
      <c r="M86" s="50"/>
      <c r="N86" s="54"/>
      <c r="O86" s="50"/>
      <c r="P86" s="50"/>
      <c r="Q86" s="50"/>
    </row>
    <row r="87" spans="1:17">
      <c r="A87" s="45"/>
      <c r="B87" s="45"/>
      <c r="C87" s="45"/>
      <c r="D87" s="46"/>
      <c r="E87" s="47"/>
      <c r="F87" s="46"/>
      <c r="G87" s="45"/>
      <c r="H87" s="48"/>
      <c r="I87" s="45"/>
      <c r="J87" s="45"/>
      <c r="K87" s="49"/>
      <c r="L87" s="45"/>
      <c r="M87" s="45"/>
      <c r="N87" s="49"/>
      <c r="O87" s="45"/>
      <c r="P87" s="45"/>
      <c r="Q87" s="45"/>
    </row>
    <row r="88" spans="1:17">
      <c r="A88" s="50"/>
      <c r="B88" s="50"/>
      <c r="C88" s="50"/>
      <c r="D88" s="51"/>
      <c r="E88" s="52"/>
      <c r="F88" s="51"/>
      <c r="G88" s="50"/>
      <c r="H88" s="53"/>
      <c r="I88" s="50"/>
      <c r="J88" s="50"/>
      <c r="K88" s="54"/>
      <c r="L88" s="50"/>
      <c r="M88" s="50"/>
      <c r="N88" s="54"/>
      <c r="O88" s="50"/>
      <c r="P88" s="50"/>
      <c r="Q88" s="50"/>
    </row>
    <row r="89" spans="1:17">
      <c r="A89" s="45"/>
      <c r="B89" s="45"/>
      <c r="C89" s="45"/>
      <c r="D89" s="46"/>
      <c r="E89" s="47"/>
      <c r="F89" s="46"/>
      <c r="G89" s="45"/>
      <c r="H89" s="48"/>
      <c r="I89" s="45"/>
      <c r="J89" s="45"/>
      <c r="K89" s="49"/>
      <c r="L89" s="45"/>
      <c r="M89" s="45"/>
      <c r="N89" s="49"/>
      <c r="O89" s="45"/>
      <c r="P89" s="45"/>
      <c r="Q89" s="45"/>
    </row>
    <row r="90" spans="1:17">
      <c r="A90" s="50"/>
      <c r="B90" s="50"/>
      <c r="C90" s="50"/>
      <c r="D90" s="51"/>
      <c r="E90" s="52"/>
      <c r="F90" s="51"/>
      <c r="G90" s="50"/>
      <c r="H90" s="53"/>
      <c r="I90" s="50"/>
      <c r="J90" s="50"/>
      <c r="K90" s="54"/>
      <c r="L90" s="50"/>
      <c r="M90" s="50"/>
      <c r="N90" s="54"/>
      <c r="O90" s="50"/>
      <c r="P90" s="50"/>
      <c r="Q90" s="50"/>
    </row>
    <row r="91" spans="1:17">
      <c r="A91" s="45"/>
      <c r="B91" s="45"/>
      <c r="C91" s="45"/>
      <c r="D91" s="46"/>
      <c r="E91" s="47"/>
      <c r="F91" s="46"/>
      <c r="G91" s="45"/>
      <c r="H91" s="48"/>
      <c r="I91" s="45"/>
      <c r="J91" s="45"/>
      <c r="K91" s="49"/>
      <c r="L91" s="45"/>
      <c r="M91" s="45"/>
      <c r="N91" s="49"/>
      <c r="O91" s="45"/>
      <c r="P91" s="45"/>
      <c r="Q91" s="45"/>
    </row>
    <row r="92" spans="1:17">
      <c r="A92" s="50"/>
      <c r="B92" s="50"/>
      <c r="C92" s="50"/>
      <c r="D92" s="51"/>
      <c r="E92" s="52"/>
      <c r="F92" s="51"/>
      <c r="G92" s="50"/>
      <c r="H92" s="53"/>
      <c r="I92" s="50"/>
      <c r="J92" s="50"/>
      <c r="K92" s="54"/>
      <c r="L92" s="50"/>
      <c r="M92" s="50"/>
      <c r="N92" s="54"/>
      <c r="O92" s="50"/>
      <c r="P92" s="50"/>
      <c r="Q92" s="50"/>
    </row>
    <row r="93" spans="1:17">
      <c r="A93" s="45"/>
      <c r="B93" s="45"/>
      <c r="C93" s="45"/>
      <c r="D93" s="46"/>
      <c r="E93" s="47"/>
      <c r="F93" s="46"/>
      <c r="G93" s="45"/>
      <c r="H93" s="48"/>
      <c r="I93" s="45"/>
      <c r="J93" s="45"/>
      <c r="K93" s="49"/>
      <c r="L93" s="45"/>
      <c r="M93" s="45"/>
      <c r="N93" s="49"/>
      <c r="O93" s="45"/>
      <c r="P93" s="45"/>
      <c r="Q93" s="45"/>
    </row>
    <row r="94" spans="1:17">
      <c r="A94" s="50"/>
      <c r="B94" s="50"/>
      <c r="C94" s="50"/>
      <c r="D94" s="51"/>
      <c r="E94" s="52"/>
      <c r="F94" s="51"/>
      <c r="G94" s="50"/>
      <c r="H94" s="53"/>
      <c r="I94" s="50"/>
      <c r="J94" s="50"/>
      <c r="K94" s="54"/>
      <c r="L94" s="50"/>
      <c r="M94" s="50"/>
      <c r="N94" s="54"/>
      <c r="O94" s="50"/>
      <c r="P94" s="50"/>
      <c r="Q94" s="50"/>
    </row>
    <row r="95" spans="1:17">
      <c r="A95" s="45"/>
      <c r="B95" s="45"/>
      <c r="C95" s="45"/>
      <c r="D95" s="46"/>
      <c r="E95" s="47"/>
      <c r="F95" s="46"/>
      <c r="G95" s="45"/>
      <c r="H95" s="48"/>
      <c r="I95" s="45"/>
      <c r="J95" s="45"/>
      <c r="K95" s="49"/>
      <c r="L95" s="45"/>
      <c r="M95" s="45"/>
      <c r="N95" s="49"/>
      <c r="O95" s="45"/>
      <c r="P95" s="45"/>
      <c r="Q95" s="45"/>
    </row>
    <row r="96" spans="1:17">
      <c r="A96" s="50"/>
      <c r="B96" s="50"/>
      <c r="C96" s="50"/>
      <c r="D96" s="51"/>
      <c r="E96" s="52"/>
      <c r="F96" s="51"/>
      <c r="G96" s="50"/>
      <c r="H96" s="53"/>
      <c r="I96" s="50"/>
      <c r="J96" s="50"/>
      <c r="K96" s="54"/>
      <c r="L96" s="50"/>
      <c r="M96" s="50"/>
      <c r="N96" s="54"/>
      <c r="O96" s="50"/>
      <c r="P96" s="50"/>
      <c r="Q96" s="50"/>
    </row>
    <row r="97" spans="1:17">
      <c r="A97" s="45"/>
      <c r="B97" s="45"/>
      <c r="C97" s="45"/>
      <c r="D97" s="46"/>
      <c r="E97" s="47"/>
      <c r="F97" s="46"/>
      <c r="G97" s="45"/>
      <c r="H97" s="48"/>
      <c r="I97" s="45"/>
      <c r="J97" s="45"/>
      <c r="K97" s="49"/>
      <c r="L97" s="45"/>
      <c r="M97" s="45"/>
      <c r="N97" s="49"/>
      <c r="O97" s="45"/>
      <c r="P97" s="45"/>
      <c r="Q97" s="45"/>
    </row>
    <row r="98" spans="1:17">
      <c r="A98" s="50"/>
      <c r="B98" s="50"/>
      <c r="C98" s="50"/>
      <c r="D98" s="51"/>
      <c r="E98" s="52"/>
      <c r="F98" s="51"/>
      <c r="G98" s="50"/>
      <c r="H98" s="53"/>
      <c r="I98" s="50"/>
      <c r="J98" s="50"/>
      <c r="K98" s="54"/>
      <c r="L98" s="50"/>
      <c r="M98" s="50"/>
      <c r="N98" s="54"/>
      <c r="O98" s="50"/>
      <c r="P98" s="50"/>
      <c r="Q98" s="50"/>
    </row>
    <row r="99" spans="1:17">
      <c r="A99" s="45"/>
      <c r="B99" s="45"/>
      <c r="C99" s="45"/>
      <c r="D99" s="46"/>
      <c r="E99" s="47"/>
      <c r="F99" s="46"/>
      <c r="G99" s="45"/>
      <c r="H99" s="48"/>
      <c r="I99" s="45"/>
      <c r="J99" s="45"/>
      <c r="K99" s="49"/>
      <c r="L99" s="45"/>
      <c r="M99" s="45"/>
      <c r="N99" s="49"/>
      <c r="O99" s="45"/>
      <c r="P99" s="45"/>
      <c r="Q99" s="45"/>
    </row>
    <row r="100" spans="1:17">
      <c r="A100" s="50"/>
      <c r="B100" s="50"/>
      <c r="C100" s="50"/>
      <c r="D100" s="51"/>
      <c r="E100" s="52"/>
      <c r="F100" s="51"/>
      <c r="G100" s="50"/>
      <c r="H100" s="53"/>
      <c r="I100" s="50"/>
      <c r="J100" s="50"/>
      <c r="K100" s="54"/>
      <c r="L100" s="50"/>
      <c r="M100" s="50"/>
      <c r="N100" s="54"/>
      <c r="O100" s="50"/>
      <c r="P100" s="50"/>
      <c r="Q100" s="50"/>
    </row>
    <row r="101" spans="1:17">
      <c r="A101" s="45"/>
      <c r="B101" s="45"/>
      <c r="C101" s="45"/>
      <c r="D101" s="46"/>
      <c r="E101" s="47"/>
      <c r="F101" s="46"/>
      <c r="G101" s="45"/>
      <c r="H101" s="48"/>
      <c r="I101" s="45"/>
      <c r="J101" s="45"/>
      <c r="K101" s="49"/>
      <c r="L101" s="45"/>
      <c r="M101" s="45"/>
      <c r="N101" s="49"/>
      <c r="O101" s="45"/>
      <c r="P101" s="45"/>
      <c r="Q101" s="45"/>
    </row>
    <row r="102" spans="1:17">
      <c r="A102" s="50"/>
      <c r="B102" s="50"/>
      <c r="C102" s="50"/>
      <c r="D102" s="51"/>
      <c r="E102" s="52"/>
      <c r="F102" s="51"/>
      <c r="G102" s="50"/>
      <c r="H102" s="53"/>
      <c r="I102" s="50"/>
      <c r="J102" s="50"/>
      <c r="K102" s="54"/>
      <c r="L102" s="50"/>
      <c r="M102" s="50"/>
      <c r="N102" s="54"/>
      <c r="O102" s="50"/>
      <c r="P102" s="50"/>
      <c r="Q102" s="50"/>
    </row>
    <row r="103" spans="1:17">
      <c r="A103" s="45"/>
      <c r="B103" s="45"/>
      <c r="C103" s="45"/>
      <c r="D103" s="46"/>
      <c r="E103" s="47"/>
      <c r="F103" s="46"/>
      <c r="G103" s="45"/>
      <c r="H103" s="48"/>
      <c r="I103" s="45"/>
      <c r="J103" s="45"/>
      <c r="K103" s="49"/>
      <c r="L103" s="45"/>
      <c r="M103" s="45"/>
      <c r="N103" s="49"/>
      <c r="O103" s="45"/>
      <c r="P103" s="45"/>
      <c r="Q103" s="45"/>
    </row>
    <row r="104" spans="1:17">
      <c r="A104" s="50"/>
      <c r="B104" s="50"/>
      <c r="C104" s="50"/>
      <c r="D104" s="51"/>
      <c r="E104" s="52"/>
      <c r="F104" s="51"/>
      <c r="G104" s="50"/>
      <c r="H104" s="53"/>
      <c r="I104" s="50"/>
      <c r="J104" s="50"/>
      <c r="K104" s="54"/>
      <c r="L104" s="50"/>
      <c r="M104" s="50"/>
      <c r="N104" s="54"/>
      <c r="O104" s="50"/>
      <c r="P104" s="50"/>
      <c r="Q104" s="50"/>
    </row>
    <row r="105" spans="1:17">
      <c r="A105" s="45"/>
      <c r="B105" s="45"/>
      <c r="C105" s="45"/>
      <c r="D105" s="46"/>
      <c r="E105" s="47"/>
      <c r="F105" s="46"/>
      <c r="G105" s="45"/>
      <c r="H105" s="48"/>
      <c r="I105" s="45"/>
      <c r="J105" s="45"/>
      <c r="K105" s="49"/>
      <c r="L105" s="45"/>
      <c r="M105" s="45"/>
      <c r="N105" s="49"/>
      <c r="O105" s="45"/>
      <c r="P105" s="45"/>
      <c r="Q105" s="45"/>
    </row>
    <row r="106" spans="1:17">
      <c r="A106" s="50"/>
      <c r="B106" s="50"/>
      <c r="C106" s="50"/>
      <c r="D106" s="51"/>
      <c r="E106" s="52"/>
      <c r="F106" s="51"/>
      <c r="G106" s="50"/>
      <c r="H106" s="53"/>
      <c r="I106" s="50"/>
      <c r="J106" s="50"/>
      <c r="K106" s="54"/>
      <c r="L106" s="50"/>
      <c r="M106" s="50"/>
      <c r="N106" s="54"/>
      <c r="O106" s="50"/>
      <c r="P106" s="50"/>
      <c r="Q106" s="50"/>
    </row>
    <row r="107" spans="1:17">
      <c r="A107" s="45"/>
      <c r="B107" s="45"/>
      <c r="C107" s="45"/>
      <c r="D107" s="46"/>
      <c r="E107" s="47"/>
      <c r="F107" s="46"/>
      <c r="G107" s="45"/>
      <c r="H107" s="48"/>
      <c r="I107" s="45"/>
      <c r="J107" s="45"/>
      <c r="K107" s="49"/>
      <c r="L107" s="45"/>
      <c r="M107" s="45"/>
      <c r="N107" s="49"/>
      <c r="O107" s="45"/>
      <c r="P107" s="45"/>
      <c r="Q107" s="45"/>
    </row>
    <row r="108" spans="1:17">
      <c r="A108" s="50"/>
      <c r="B108" s="50"/>
      <c r="C108" s="50"/>
      <c r="D108" s="51"/>
      <c r="E108" s="52"/>
      <c r="F108" s="51"/>
      <c r="G108" s="50"/>
      <c r="H108" s="53"/>
      <c r="I108" s="50"/>
      <c r="J108" s="50"/>
      <c r="K108" s="54"/>
      <c r="L108" s="50"/>
      <c r="M108" s="50"/>
      <c r="N108" s="54"/>
      <c r="O108" s="50"/>
      <c r="P108" s="50"/>
      <c r="Q108" s="50"/>
    </row>
    <row r="109" spans="1:17">
      <c r="A109" s="45"/>
      <c r="B109" s="45"/>
      <c r="C109" s="45"/>
      <c r="D109" s="46"/>
      <c r="E109" s="47"/>
      <c r="F109" s="46"/>
      <c r="G109" s="45"/>
      <c r="H109" s="48"/>
      <c r="I109" s="45"/>
      <c r="J109" s="45"/>
      <c r="K109" s="49"/>
      <c r="L109" s="45"/>
      <c r="M109" s="45"/>
      <c r="N109" s="49"/>
      <c r="O109" s="45"/>
      <c r="P109" s="45"/>
      <c r="Q109" s="45"/>
    </row>
    <row r="110" spans="1:17">
      <c r="A110" s="50"/>
      <c r="B110" s="50"/>
      <c r="C110" s="50"/>
      <c r="D110" s="51"/>
      <c r="E110" s="52"/>
      <c r="F110" s="51"/>
      <c r="G110" s="50"/>
      <c r="H110" s="53"/>
      <c r="I110" s="50"/>
      <c r="J110" s="50"/>
      <c r="K110" s="54"/>
      <c r="L110" s="50"/>
      <c r="M110" s="50"/>
      <c r="N110" s="54"/>
      <c r="O110" s="50"/>
      <c r="P110" s="50"/>
      <c r="Q110" s="50"/>
    </row>
    <row r="111" spans="1:17">
      <c r="A111" s="45"/>
      <c r="B111" s="45"/>
      <c r="C111" s="45"/>
      <c r="D111" s="46"/>
      <c r="E111" s="47"/>
      <c r="F111" s="46"/>
      <c r="G111" s="45"/>
      <c r="H111" s="48"/>
      <c r="I111" s="45"/>
      <c r="J111" s="45"/>
      <c r="K111" s="49"/>
      <c r="L111" s="45"/>
      <c r="M111" s="45"/>
      <c r="N111" s="49"/>
      <c r="O111" s="45"/>
      <c r="P111" s="45"/>
      <c r="Q111" s="45"/>
    </row>
    <row r="112" spans="1:17">
      <c r="A112" s="50"/>
      <c r="B112" s="50"/>
      <c r="C112" s="50"/>
      <c r="D112" s="51"/>
      <c r="E112" s="52"/>
      <c r="F112" s="51"/>
      <c r="G112" s="50"/>
      <c r="H112" s="53"/>
      <c r="I112" s="50"/>
      <c r="J112" s="50"/>
      <c r="K112" s="54"/>
      <c r="L112" s="50"/>
      <c r="M112" s="50"/>
      <c r="N112" s="54"/>
      <c r="O112" s="50"/>
      <c r="P112" s="50"/>
      <c r="Q112" s="50"/>
    </row>
    <row r="113" spans="1:17">
      <c r="A113" s="45"/>
      <c r="B113" s="45"/>
      <c r="C113" s="45"/>
      <c r="D113" s="46"/>
      <c r="E113" s="47"/>
      <c r="F113" s="46"/>
      <c r="G113" s="45"/>
      <c r="H113" s="48"/>
      <c r="I113" s="45"/>
      <c r="J113" s="45"/>
      <c r="K113" s="49"/>
      <c r="L113" s="45"/>
      <c r="M113" s="45"/>
      <c r="N113" s="49"/>
      <c r="O113" s="45"/>
      <c r="P113" s="45"/>
      <c r="Q113" s="45"/>
    </row>
    <row r="114" spans="1:17">
      <c r="A114" s="50"/>
      <c r="B114" s="50"/>
      <c r="C114" s="50"/>
      <c r="D114" s="51"/>
      <c r="E114" s="52"/>
      <c r="F114" s="51"/>
      <c r="G114" s="50"/>
      <c r="H114" s="53"/>
      <c r="I114" s="50"/>
      <c r="J114" s="50"/>
      <c r="K114" s="54"/>
      <c r="L114" s="50"/>
      <c r="M114" s="50"/>
      <c r="N114" s="54"/>
      <c r="O114" s="50"/>
      <c r="P114" s="50"/>
      <c r="Q114" s="50"/>
    </row>
    <row r="115" spans="1:17">
      <c r="A115" s="45"/>
      <c r="B115" s="45"/>
      <c r="C115" s="45"/>
      <c r="D115" s="46"/>
      <c r="E115" s="47"/>
      <c r="F115" s="46"/>
      <c r="G115" s="45"/>
      <c r="H115" s="48"/>
      <c r="I115" s="45"/>
      <c r="J115" s="45"/>
      <c r="K115" s="49"/>
      <c r="L115" s="45"/>
      <c r="M115" s="45"/>
      <c r="N115" s="49"/>
      <c r="O115" s="45"/>
      <c r="P115" s="45"/>
      <c r="Q115" s="45"/>
    </row>
    <row r="116" spans="1:17">
      <c r="A116" s="50"/>
      <c r="B116" s="50"/>
      <c r="C116" s="50"/>
      <c r="D116" s="51"/>
      <c r="E116" s="52"/>
      <c r="F116" s="51"/>
      <c r="G116" s="50"/>
      <c r="H116" s="53"/>
      <c r="I116" s="50"/>
      <c r="J116" s="50"/>
      <c r="K116" s="54"/>
      <c r="L116" s="50"/>
      <c r="M116" s="50"/>
      <c r="N116" s="54"/>
      <c r="O116" s="50"/>
      <c r="P116" s="50"/>
      <c r="Q116" s="50"/>
    </row>
    <row r="117" spans="1:17">
      <c r="A117" s="45"/>
      <c r="B117" s="45"/>
      <c r="C117" s="45"/>
      <c r="D117" s="46"/>
      <c r="E117" s="47"/>
      <c r="F117" s="46"/>
      <c r="G117" s="45"/>
      <c r="H117" s="48"/>
      <c r="I117" s="45"/>
      <c r="J117" s="45"/>
      <c r="K117" s="49"/>
      <c r="L117" s="45"/>
      <c r="M117" s="45"/>
      <c r="N117" s="49"/>
      <c r="O117" s="45"/>
      <c r="P117" s="45"/>
      <c r="Q117" s="45"/>
    </row>
    <row r="118" spans="1:17">
      <c r="A118" s="50"/>
      <c r="B118" s="50"/>
      <c r="C118" s="50"/>
      <c r="D118" s="51"/>
      <c r="E118" s="52"/>
      <c r="F118" s="51"/>
      <c r="G118" s="50"/>
      <c r="H118" s="53"/>
      <c r="I118" s="50"/>
      <c r="J118" s="50"/>
      <c r="K118" s="54"/>
      <c r="L118" s="50"/>
      <c r="M118" s="50"/>
      <c r="N118" s="54"/>
      <c r="O118" s="50"/>
      <c r="P118" s="50"/>
      <c r="Q118" s="50"/>
    </row>
    <row r="119" spans="1:17">
      <c r="A119" s="45"/>
      <c r="B119" s="45"/>
      <c r="C119" s="45"/>
      <c r="D119" s="46"/>
      <c r="E119" s="47"/>
      <c r="F119" s="46"/>
      <c r="G119" s="45"/>
      <c r="H119" s="48"/>
      <c r="I119" s="45"/>
      <c r="J119" s="45"/>
      <c r="K119" s="49"/>
      <c r="L119" s="45"/>
      <c r="M119" s="45"/>
      <c r="N119" s="49"/>
      <c r="O119" s="45"/>
      <c r="P119" s="45"/>
      <c r="Q119" s="45"/>
    </row>
    <row r="120" spans="1:17">
      <c r="A120" s="50"/>
      <c r="B120" s="50"/>
      <c r="C120" s="50"/>
      <c r="D120" s="51"/>
      <c r="E120" s="52"/>
      <c r="F120" s="51"/>
      <c r="G120" s="50"/>
      <c r="H120" s="53"/>
      <c r="I120" s="50"/>
      <c r="J120" s="50"/>
      <c r="K120" s="54"/>
      <c r="L120" s="50"/>
      <c r="M120" s="50"/>
      <c r="N120" s="54"/>
      <c r="O120" s="50"/>
      <c r="P120" s="50"/>
      <c r="Q120" s="50"/>
    </row>
    <row r="121" spans="1:17">
      <c r="A121" s="45"/>
      <c r="B121" s="45"/>
      <c r="C121" s="45"/>
      <c r="D121" s="46"/>
      <c r="E121" s="47"/>
      <c r="F121" s="46"/>
      <c r="G121" s="45"/>
      <c r="H121" s="48"/>
      <c r="I121" s="45"/>
      <c r="J121" s="45"/>
      <c r="K121" s="49"/>
      <c r="L121" s="45"/>
      <c r="M121" s="45"/>
      <c r="N121" s="49"/>
      <c r="O121" s="45"/>
      <c r="P121" s="45"/>
      <c r="Q121" s="45"/>
    </row>
    <row r="122" spans="1:17">
      <c r="A122" s="50"/>
      <c r="B122" s="50"/>
      <c r="C122" s="50"/>
      <c r="D122" s="51"/>
      <c r="E122" s="52"/>
      <c r="F122" s="51"/>
      <c r="G122" s="50"/>
      <c r="H122" s="53"/>
      <c r="I122" s="50"/>
      <c r="J122" s="50"/>
      <c r="K122" s="54"/>
      <c r="L122" s="50"/>
      <c r="M122" s="50"/>
      <c r="N122" s="54"/>
      <c r="O122" s="50"/>
      <c r="P122" s="50"/>
      <c r="Q122" s="50"/>
    </row>
    <row r="123" spans="1:17">
      <c r="A123" s="45"/>
      <c r="B123" s="45"/>
      <c r="C123" s="45"/>
      <c r="D123" s="46"/>
      <c r="E123" s="47"/>
      <c r="F123" s="46"/>
      <c r="G123" s="45"/>
      <c r="H123" s="48"/>
      <c r="I123" s="45"/>
      <c r="J123" s="45"/>
      <c r="K123" s="49"/>
      <c r="L123" s="45"/>
      <c r="M123" s="45"/>
      <c r="N123" s="49"/>
      <c r="O123" s="45"/>
      <c r="P123" s="45"/>
      <c r="Q123" s="45"/>
    </row>
    <row r="124" spans="1:17">
      <c r="A124" s="50"/>
      <c r="B124" s="50"/>
      <c r="C124" s="50"/>
      <c r="D124" s="51"/>
      <c r="E124" s="52"/>
      <c r="F124" s="51"/>
      <c r="G124" s="50"/>
      <c r="H124" s="53"/>
      <c r="I124" s="50"/>
      <c r="J124" s="50"/>
      <c r="K124" s="54"/>
      <c r="L124" s="50"/>
      <c r="M124" s="50"/>
      <c r="N124" s="54"/>
      <c r="O124" s="50"/>
      <c r="P124" s="50"/>
      <c r="Q124" s="50"/>
    </row>
    <row r="125" spans="1:17">
      <c r="A125" s="45"/>
      <c r="B125" s="45"/>
      <c r="C125" s="45"/>
      <c r="D125" s="46"/>
      <c r="E125" s="47"/>
      <c r="F125" s="46"/>
      <c r="G125" s="45"/>
      <c r="H125" s="48"/>
      <c r="I125" s="45"/>
      <c r="J125" s="45"/>
      <c r="K125" s="49"/>
      <c r="L125" s="45"/>
      <c r="M125" s="45"/>
      <c r="N125" s="49"/>
      <c r="O125" s="45"/>
      <c r="P125" s="45"/>
      <c r="Q125" s="45"/>
    </row>
    <row r="126" spans="1:17">
      <c r="A126" s="50"/>
      <c r="B126" s="50"/>
      <c r="C126" s="50"/>
      <c r="D126" s="51"/>
      <c r="E126" s="52"/>
      <c r="F126" s="51"/>
      <c r="G126" s="50"/>
      <c r="H126" s="53"/>
      <c r="I126" s="50"/>
      <c r="J126" s="50"/>
      <c r="K126" s="54"/>
      <c r="L126" s="50"/>
      <c r="M126" s="50"/>
      <c r="N126" s="54"/>
      <c r="O126" s="50"/>
      <c r="P126" s="50"/>
      <c r="Q126" s="50"/>
    </row>
    <row r="127" spans="1:17">
      <c r="A127" s="45"/>
      <c r="B127" s="45"/>
      <c r="C127" s="45"/>
      <c r="D127" s="46"/>
      <c r="E127" s="47"/>
      <c r="F127" s="46"/>
      <c r="G127" s="45"/>
      <c r="H127" s="48"/>
      <c r="I127" s="45"/>
      <c r="J127" s="45"/>
      <c r="K127" s="49"/>
      <c r="L127" s="45"/>
      <c r="M127" s="45"/>
      <c r="N127" s="49"/>
      <c r="O127" s="45"/>
      <c r="P127" s="45"/>
      <c r="Q127" s="45"/>
    </row>
    <row r="128" spans="1:17">
      <c r="A128" s="50"/>
      <c r="B128" s="50"/>
      <c r="C128" s="50"/>
      <c r="D128" s="51"/>
      <c r="E128" s="52"/>
      <c r="F128" s="51"/>
      <c r="G128" s="50"/>
      <c r="H128" s="53"/>
      <c r="I128" s="50"/>
      <c r="J128" s="50"/>
      <c r="K128" s="54"/>
      <c r="L128" s="50"/>
      <c r="M128" s="50"/>
      <c r="N128" s="54"/>
      <c r="O128" s="50"/>
      <c r="P128" s="50"/>
      <c r="Q128" s="50"/>
    </row>
    <row r="129" spans="1:17">
      <c r="A129" s="45"/>
      <c r="B129" s="45"/>
      <c r="C129" s="45"/>
      <c r="D129" s="46"/>
      <c r="E129" s="47"/>
      <c r="F129" s="46"/>
      <c r="G129" s="45"/>
      <c r="H129" s="48"/>
      <c r="I129" s="45"/>
      <c r="J129" s="45"/>
      <c r="K129" s="49"/>
      <c r="L129" s="45"/>
      <c r="M129" s="45"/>
      <c r="N129" s="49"/>
      <c r="O129" s="45"/>
      <c r="P129" s="45"/>
      <c r="Q129" s="45"/>
    </row>
    <row r="130" spans="1:17">
      <c r="A130" s="50"/>
      <c r="B130" s="50"/>
      <c r="C130" s="50"/>
      <c r="D130" s="51"/>
      <c r="E130" s="52"/>
      <c r="F130" s="51"/>
      <c r="G130" s="50"/>
      <c r="H130" s="53"/>
      <c r="I130" s="50"/>
      <c r="J130" s="50"/>
      <c r="K130" s="54"/>
      <c r="L130" s="50"/>
      <c r="M130" s="50"/>
      <c r="N130" s="54"/>
      <c r="O130" s="50"/>
      <c r="P130" s="50"/>
      <c r="Q130" s="50"/>
    </row>
    <row r="131" spans="1:17">
      <c r="A131" s="45"/>
      <c r="B131" s="45"/>
      <c r="C131" s="45"/>
      <c r="D131" s="46"/>
      <c r="E131" s="47"/>
      <c r="F131" s="46"/>
      <c r="G131" s="45"/>
      <c r="H131" s="48"/>
      <c r="I131" s="45"/>
      <c r="J131" s="45"/>
      <c r="K131" s="49"/>
      <c r="L131" s="45"/>
      <c r="M131" s="45"/>
      <c r="N131" s="49"/>
      <c r="O131" s="45"/>
      <c r="P131" s="45"/>
      <c r="Q131" s="45"/>
    </row>
    <row r="132" spans="1:17">
      <c r="A132" s="50"/>
      <c r="B132" s="50"/>
      <c r="C132" s="50"/>
      <c r="D132" s="51"/>
      <c r="E132" s="52"/>
      <c r="F132" s="51"/>
      <c r="G132" s="50"/>
      <c r="H132" s="53"/>
      <c r="I132" s="50"/>
      <c r="J132" s="50"/>
      <c r="K132" s="54"/>
      <c r="L132" s="50"/>
      <c r="M132" s="50"/>
      <c r="N132" s="54"/>
      <c r="O132" s="50"/>
      <c r="P132" s="50"/>
      <c r="Q132" s="50"/>
    </row>
    <row r="133" spans="1:17">
      <c r="A133" s="45"/>
      <c r="B133" s="45"/>
      <c r="C133" s="45"/>
      <c r="D133" s="46"/>
      <c r="E133" s="47"/>
      <c r="F133" s="46"/>
      <c r="G133" s="45"/>
      <c r="H133" s="48"/>
      <c r="I133" s="45"/>
      <c r="J133" s="45"/>
      <c r="K133" s="49"/>
      <c r="L133" s="45"/>
      <c r="M133" s="45"/>
      <c r="N133" s="49"/>
      <c r="O133" s="45"/>
      <c r="P133" s="45"/>
      <c r="Q133" s="45"/>
    </row>
    <row r="134" spans="1:17">
      <c r="A134" s="50"/>
      <c r="B134" s="50"/>
      <c r="C134" s="50"/>
      <c r="D134" s="51"/>
      <c r="E134" s="52"/>
      <c r="F134" s="51"/>
      <c r="G134" s="50"/>
      <c r="H134" s="53"/>
      <c r="I134" s="50"/>
      <c r="J134" s="50"/>
      <c r="K134" s="54"/>
      <c r="L134" s="50"/>
      <c r="M134" s="50"/>
      <c r="N134" s="54"/>
      <c r="O134" s="50"/>
      <c r="P134" s="50"/>
      <c r="Q134" s="50"/>
    </row>
    <row r="135" spans="1:17">
      <c r="A135" s="45"/>
      <c r="B135" s="45"/>
      <c r="C135" s="45"/>
      <c r="D135" s="46"/>
      <c r="E135" s="47"/>
      <c r="F135" s="46"/>
      <c r="G135" s="45"/>
      <c r="H135" s="48"/>
      <c r="I135" s="45"/>
      <c r="J135" s="45"/>
      <c r="K135" s="49"/>
      <c r="L135" s="45"/>
      <c r="M135" s="45"/>
      <c r="N135" s="49"/>
      <c r="O135" s="45"/>
      <c r="P135" s="45"/>
      <c r="Q135" s="45"/>
    </row>
    <row r="136" spans="1:17">
      <c r="A136" s="50"/>
      <c r="B136" s="50"/>
      <c r="C136" s="50"/>
      <c r="D136" s="51"/>
      <c r="E136" s="52"/>
      <c r="F136" s="51"/>
      <c r="G136" s="50"/>
      <c r="H136" s="53"/>
      <c r="I136" s="50"/>
      <c r="J136" s="50"/>
      <c r="K136" s="54"/>
      <c r="L136" s="50"/>
      <c r="M136" s="50"/>
      <c r="N136" s="54"/>
      <c r="O136" s="50"/>
      <c r="P136" s="50"/>
      <c r="Q136" s="50"/>
    </row>
    <row r="137" spans="1:17">
      <c r="A137" s="45"/>
      <c r="B137" s="45"/>
      <c r="C137" s="45"/>
      <c r="D137" s="46"/>
      <c r="E137" s="47"/>
      <c r="F137" s="46"/>
      <c r="G137" s="45"/>
      <c r="H137" s="48"/>
      <c r="I137" s="45"/>
      <c r="J137" s="45"/>
      <c r="K137" s="49"/>
      <c r="L137" s="45"/>
      <c r="M137" s="45"/>
      <c r="N137" s="49"/>
      <c r="O137" s="45"/>
      <c r="P137" s="45"/>
      <c r="Q137" s="45"/>
    </row>
    <row r="138" spans="1:17">
      <c r="A138" s="50"/>
      <c r="B138" s="50"/>
      <c r="C138" s="50"/>
      <c r="D138" s="51"/>
      <c r="E138" s="52"/>
      <c r="F138" s="51"/>
      <c r="G138" s="50"/>
      <c r="H138" s="53"/>
      <c r="I138" s="50"/>
      <c r="J138" s="50"/>
      <c r="K138" s="54"/>
      <c r="L138" s="50"/>
      <c r="M138" s="50"/>
      <c r="N138" s="54"/>
      <c r="O138" s="50"/>
      <c r="P138" s="50"/>
      <c r="Q138" s="50"/>
    </row>
    <row r="139" spans="1:17">
      <c r="A139" s="45"/>
      <c r="B139" s="45"/>
      <c r="C139" s="45"/>
      <c r="D139" s="46"/>
      <c r="E139" s="47"/>
      <c r="F139" s="46"/>
      <c r="G139" s="45"/>
      <c r="H139" s="48"/>
      <c r="I139" s="45"/>
      <c r="J139" s="45"/>
      <c r="K139" s="49"/>
      <c r="L139" s="45"/>
      <c r="M139" s="45"/>
      <c r="N139" s="49"/>
      <c r="O139" s="45"/>
      <c r="P139" s="45"/>
      <c r="Q139" s="45"/>
    </row>
    <row r="140" spans="1:17">
      <c r="A140" s="50"/>
      <c r="B140" s="50"/>
      <c r="C140" s="50"/>
      <c r="D140" s="51"/>
      <c r="E140" s="52"/>
      <c r="F140" s="51"/>
      <c r="G140" s="50"/>
      <c r="H140" s="53"/>
      <c r="I140" s="50"/>
      <c r="J140" s="50"/>
      <c r="K140" s="54"/>
      <c r="L140" s="50"/>
      <c r="M140" s="50"/>
      <c r="N140" s="54"/>
      <c r="O140" s="50"/>
      <c r="P140" s="50"/>
      <c r="Q140" s="50"/>
    </row>
    <row r="141" spans="1:17">
      <c r="A141" s="45"/>
      <c r="B141" s="45"/>
      <c r="C141" s="45"/>
      <c r="D141" s="46"/>
      <c r="E141" s="47"/>
      <c r="F141" s="46"/>
      <c r="G141" s="45"/>
      <c r="H141" s="48"/>
      <c r="I141" s="45"/>
      <c r="J141" s="45"/>
      <c r="K141" s="49"/>
      <c r="L141" s="45"/>
      <c r="M141" s="45"/>
      <c r="N141" s="49"/>
      <c r="O141" s="45"/>
      <c r="P141" s="45"/>
      <c r="Q141" s="45"/>
    </row>
    <row r="142" spans="1:17">
      <c r="A142" s="50"/>
      <c r="B142" s="50"/>
      <c r="C142" s="50"/>
      <c r="D142" s="51"/>
      <c r="E142" s="52"/>
      <c r="F142" s="51"/>
      <c r="G142" s="50"/>
      <c r="H142" s="53"/>
      <c r="I142" s="50"/>
      <c r="J142" s="50"/>
      <c r="K142" s="54"/>
      <c r="L142" s="50"/>
      <c r="M142" s="50"/>
      <c r="N142" s="54"/>
      <c r="O142" s="50"/>
      <c r="P142" s="50"/>
      <c r="Q142" s="50"/>
    </row>
    <row r="143" spans="1:17">
      <c r="A143" s="45"/>
      <c r="B143" s="45"/>
      <c r="C143" s="45"/>
      <c r="D143" s="46"/>
      <c r="E143" s="47"/>
      <c r="F143" s="46"/>
      <c r="G143" s="45"/>
      <c r="H143" s="48"/>
      <c r="I143" s="45"/>
      <c r="J143" s="45"/>
      <c r="K143" s="49"/>
      <c r="L143" s="45"/>
      <c r="M143" s="45"/>
      <c r="N143" s="49"/>
      <c r="O143" s="45"/>
      <c r="P143" s="45"/>
      <c r="Q143" s="45"/>
    </row>
    <row r="144" spans="1:17">
      <c r="A144" s="50"/>
      <c r="B144" s="50"/>
      <c r="C144" s="50"/>
      <c r="D144" s="51"/>
      <c r="E144" s="52"/>
      <c r="F144" s="51"/>
      <c r="G144" s="50"/>
      <c r="H144" s="53"/>
      <c r="I144" s="50"/>
      <c r="J144" s="50"/>
      <c r="K144" s="54"/>
      <c r="L144" s="50"/>
      <c r="M144" s="50"/>
      <c r="N144" s="54"/>
      <c r="O144" s="50"/>
      <c r="P144" s="50"/>
      <c r="Q144" s="50"/>
    </row>
    <row r="145" spans="1:17">
      <c r="A145" s="45"/>
      <c r="B145" s="45"/>
      <c r="C145" s="45"/>
      <c r="D145" s="46"/>
      <c r="E145" s="47"/>
      <c r="F145" s="46"/>
      <c r="G145" s="45"/>
      <c r="H145" s="48"/>
      <c r="I145" s="45"/>
      <c r="J145" s="45"/>
      <c r="K145" s="49"/>
      <c r="L145" s="45"/>
      <c r="M145" s="45"/>
      <c r="N145" s="49"/>
      <c r="O145" s="45"/>
      <c r="P145" s="45"/>
      <c r="Q145" s="45"/>
    </row>
    <row r="146" spans="1:17">
      <c r="A146" s="50"/>
      <c r="B146" s="50"/>
      <c r="C146" s="50"/>
      <c r="D146" s="51"/>
      <c r="E146" s="52"/>
      <c r="F146" s="51"/>
      <c r="G146" s="50"/>
      <c r="H146" s="53"/>
      <c r="I146" s="50"/>
      <c r="J146" s="50"/>
      <c r="K146" s="54"/>
      <c r="L146" s="50"/>
      <c r="M146" s="50"/>
      <c r="N146" s="54"/>
      <c r="O146" s="50"/>
      <c r="P146" s="50"/>
      <c r="Q146" s="50"/>
    </row>
    <row r="147" spans="1:17">
      <c r="A147" s="45"/>
      <c r="B147" s="45"/>
      <c r="C147" s="45"/>
      <c r="D147" s="46"/>
      <c r="E147" s="47"/>
      <c r="F147" s="46"/>
      <c r="G147" s="45"/>
      <c r="H147" s="48"/>
      <c r="I147" s="45"/>
      <c r="J147" s="45"/>
      <c r="K147" s="49"/>
      <c r="L147" s="45"/>
      <c r="M147" s="45"/>
      <c r="N147" s="49"/>
      <c r="O147" s="45"/>
      <c r="P147" s="45"/>
      <c r="Q147" s="45"/>
    </row>
    <row r="148" spans="1:17">
      <c r="A148" s="50"/>
      <c r="B148" s="50"/>
      <c r="C148" s="50"/>
      <c r="D148" s="51"/>
      <c r="E148" s="52"/>
      <c r="F148" s="51"/>
      <c r="G148" s="50"/>
      <c r="H148" s="53"/>
      <c r="I148" s="50"/>
      <c r="J148" s="50"/>
      <c r="K148" s="54"/>
      <c r="L148" s="50"/>
      <c r="M148" s="50"/>
      <c r="N148" s="54"/>
      <c r="O148" s="50"/>
      <c r="P148" s="50"/>
      <c r="Q148" s="50"/>
    </row>
    <row r="149" spans="1:17">
      <c r="A149" s="45"/>
      <c r="B149" s="45"/>
      <c r="C149" s="45"/>
      <c r="D149" s="46"/>
      <c r="E149" s="47"/>
      <c r="F149" s="46"/>
      <c r="G149" s="45"/>
      <c r="H149" s="48"/>
      <c r="I149" s="45"/>
      <c r="J149" s="45"/>
      <c r="K149" s="49"/>
      <c r="L149" s="45"/>
      <c r="M149" s="45"/>
      <c r="N149" s="49"/>
      <c r="O149" s="45"/>
      <c r="P149" s="45"/>
      <c r="Q149" s="45"/>
    </row>
    <row r="150" spans="1:17">
      <c r="A150" s="50"/>
      <c r="B150" s="50"/>
      <c r="C150" s="50"/>
      <c r="D150" s="51"/>
      <c r="E150" s="52"/>
      <c r="F150" s="51"/>
      <c r="G150" s="50"/>
      <c r="H150" s="53"/>
      <c r="I150" s="50"/>
      <c r="J150" s="50"/>
      <c r="K150" s="54"/>
      <c r="L150" s="50"/>
      <c r="M150" s="50"/>
      <c r="N150" s="54"/>
      <c r="O150" s="50"/>
      <c r="P150" s="50"/>
      <c r="Q150" s="50"/>
    </row>
    <row r="151" spans="1:17">
      <c r="A151" s="45"/>
      <c r="B151" s="45"/>
      <c r="C151" s="45"/>
      <c r="D151" s="46"/>
      <c r="E151" s="47"/>
      <c r="F151" s="46"/>
      <c r="G151" s="45"/>
      <c r="H151" s="48"/>
      <c r="I151" s="45"/>
      <c r="J151" s="45"/>
      <c r="K151" s="49"/>
      <c r="L151" s="45"/>
      <c r="M151" s="45"/>
      <c r="N151" s="49"/>
      <c r="O151" s="45"/>
      <c r="P151" s="45"/>
      <c r="Q151" s="45"/>
    </row>
    <row r="152" spans="1:17">
      <c r="A152" s="50"/>
      <c r="B152" s="50"/>
      <c r="C152" s="50"/>
      <c r="D152" s="51"/>
      <c r="E152" s="52"/>
      <c r="F152" s="51"/>
      <c r="G152" s="50"/>
      <c r="H152" s="53"/>
      <c r="I152" s="50"/>
      <c r="J152" s="50"/>
      <c r="K152" s="54"/>
      <c r="L152" s="50"/>
      <c r="M152" s="50"/>
      <c r="N152" s="54"/>
      <c r="O152" s="50"/>
      <c r="P152" s="50"/>
      <c r="Q152" s="50"/>
    </row>
    <row r="153" spans="1:17">
      <c r="A153" s="45"/>
      <c r="B153" s="45"/>
      <c r="C153" s="45"/>
      <c r="D153" s="46"/>
      <c r="E153" s="47"/>
      <c r="F153" s="46"/>
      <c r="G153" s="45"/>
      <c r="H153" s="48"/>
      <c r="I153" s="45"/>
      <c r="J153" s="45"/>
      <c r="K153" s="49"/>
      <c r="L153" s="45"/>
      <c r="M153" s="45"/>
      <c r="N153" s="49"/>
      <c r="O153" s="45"/>
      <c r="P153" s="45"/>
      <c r="Q153" s="45"/>
    </row>
    <row r="154" spans="1:17">
      <c r="A154" s="50"/>
      <c r="B154" s="50"/>
      <c r="C154" s="50"/>
      <c r="D154" s="51"/>
      <c r="E154" s="52"/>
      <c r="F154" s="51"/>
      <c r="G154" s="50"/>
      <c r="H154" s="53"/>
      <c r="I154" s="50"/>
      <c r="J154" s="50"/>
      <c r="K154" s="54"/>
      <c r="L154" s="50"/>
      <c r="M154" s="50"/>
      <c r="N154" s="54"/>
      <c r="O154" s="50"/>
      <c r="P154" s="50"/>
      <c r="Q154" s="50"/>
    </row>
    <row r="155" spans="1:17">
      <c r="A155" s="45"/>
      <c r="B155" s="45"/>
      <c r="C155" s="45"/>
      <c r="D155" s="46"/>
      <c r="E155" s="47"/>
      <c r="F155" s="46"/>
      <c r="G155" s="45"/>
      <c r="H155" s="48"/>
      <c r="I155" s="45"/>
      <c r="J155" s="45"/>
      <c r="K155" s="49"/>
      <c r="L155" s="45"/>
      <c r="M155" s="45"/>
      <c r="N155" s="49"/>
      <c r="O155" s="45"/>
      <c r="P155" s="45"/>
      <c r="Q155" s="45"/>
    </row>
    <row r="156" spans="1:17">
      <c r="A156" s="50"/>
      <c r="B156" s="50"/>
      <c r="C156" s="50"/>
      <c r="D156" s="51"/>
      <c r="E156" s="52"/>
      <c r="F156" s="51"/>
      <c r="G156" s="50"/>
      <c r="H156" s="53"/>
      <c r="I156" s="50"/>
      <c r="J156" s="50"/>
      <c r="K156" s="54"/>
      <c r="L156" s="50"/>
      <c r="M156" s="50"/>
      <c r="N156" s="54"/>
      <c r="O156" s="50"/>
      <c r="P156" s="50"/>
      <c r="Q156" s="50"/>
    </row>
    <row r="157" spans="1:17">
      <c r="A157" s="45"/>
      <c r="B157" s="45"/>
      <c r="C157" s="45"/>
      <c r="D157" s="46"/>
      <c r="E157" s="47"/>
      <c r="F157" s="46"/>
      <c r="G157" s="45"/>
      <c r="H157" s="48"/>
      <c r="I157" s="45"/>
      <c r="J157" s="45"/>
      <c r="K157" s="49"/>
      <c r="L157" s="45"/>
      <c r="M157" s="45"/>
      <c r="N157" s="49"/>
      <c r="O157" s="45"/>
      <c r="P157" s="45"/>
      <c r="Q157" s="45"/>
    </row>
    <row r="158" spans="1:17">
      <c r="A158" s="50"/>
      <c r="B158" s="50"/>
      <c r="C158" s="50"/>
      <c r="D158" s="51"/>
      <c r="E158" s="52"/>
      <c r="F158" s="51"/>
      <c r="G158" s="50"/>
      <c r="H158" s="53"/>
      <c r="I158" s="50"/>
      <c r="J158" s="50"/>
      <c r="K158" s="54"/>
      <c r="L158" s="50"/>
      <c r="M158" s="50"/>
      <c r="N158" s="54"/>
      <c r="O158" s="50"/>
      <c r="P158" s="50"/>
      <c r="Q158" s="50"/>
    </row>
    <row r="159" spans="1:17">
      <c r="A159" s="45"/>
      <c r="B159" s="45"/>
      <c r="C159" s="45"/>
      <c r="D159" s="46"/>
      <c r="E159" s="47"/>
      <c r="F159" s="46"/>
      <c r="G159" s="45"/>
      <c r="H159" s="48"/>
      <c r="I159" s="45"/>
      <c r="J159" s="45"/>
      <c r="K159" s="49"/>
      <c r="L159" s="45"/>
      <c r="M159" s="45"/>
      <c r="N159" s="49"/>
      <c r="O159" s="45"/>
      <c r="P159" s="45"/>
      <c r="Q159" s="45"/>
    </row>
    <row r="160" spans="1:17">
      <c r="A160" s="50"/>
      <c r="B160" s="50"/>
      <c r="C160" s="50"/>
      <c r="D160" s="51"/>
      <c r="E160" s="52"/>
      <c r="F160" s="51"/>
      <c r="G160" s="50"/>
      <c r="H160" s="53"/>
      <c r="I160" s="50"/>
      <c r="J160" s="50"/>
      <c r="K160" s="54"/>
      <c r="L160" s="50"/>
      <c r="M160" s="50"/>
      <c r="N160" s="54"/>
      <c r="O160" s="50"/>
      <c r="P160" s="50"/>
      <c r="Q160" s="50"/>
    </row>
    <row r="161" spans="1:17">
      <c r="A161" s="45"/>
      <c r="B161" s="45"/>
      <c r="C161" s="45"/>
      <c r="D161" s="46"/>
      <c r="E161" s="47"/>
      <c r="F161" s="46"/>
      <c r="G161" s="45"/>
      <c r="H161" s="48"/>
      <c r="I161" s="45"/>
      <c r="J161" s="45"/>
      <c r="K161" s="49"/>
      <c r="L161" s="45"/>
      <c r="M161" s="45"/>
      <c r="N161" s="49"/>
      <c r="O161" s="45"/>
      <c r="P161" s="45"/>
      <c r="Q161" s="45"/>
    </row>
    <row r="162" spans="1:17">
      <c r="A162" s="50"/>
      <c r="B162" s="50"/>
      <c r="C162" s="50"/>
      <c r="D162" s="51"/>
      <c r="E162" s="52"/>
      <c r="F162" s="51"/>
      <c r="G162" s="50"/>
      <c r="H162" s="53"/>
      <c r="I162" s="50"/>
      <c r="J162" s="50"/>
      <c r="K162" s="54"/>
      <c r="L162" s="50"/>
      <c r="M162" s="50"/>
      <c r="N162" s="54"/>
      <c r="O162" s="50"/>
      <c r="P162" s="50"/>
      <c r="Q162" s="50"/>
    </row>
    <row r="163" spans="1:17">
      <c r="A163" s="45"/>
      <c r="B163" s="45"/>
      <c r="C163" s="45"/>
      <c r="D163" s="46"/>
      <c r="E163" s="47"/>
      <c r="F163" s="46"/>
      <c r="G163" s="45"/>
      <c r="H163" s="48"/>
      <c r="I163" s="45"/>
      <c r="J163" s="45"/>
      <c r="K163" s="49"/>
      <c r="L163" s="45"/>
      <c r="M163" s="45"/>
      <c r="N163" s="49"/>
      <c r="O163" s="45"/>
      <c r="P163" s="45"/>
      <c r="Q163" s="45"/>
    </row>
    <row r="164" spans="1:17">
      <c r="A164" s="50"/>
      <c r="B164" s="50"/>
      <c r="C164" s="50"/>
      <c r="D164" s="51"/>
      <c r="E164" s="52"/>
      <c r="F164" s="51"/>
      <c r="G164" s="50"/>
      <c r="H164" s="53"/>
      <c r="I164" s="50"/>
      <c r="J164" s="50"/>
      <c r="K164" s="54"/>
      <c r="L164" s="50"/>
      <c r="M164" s="50"/>
      <c r="N164" s="54"/>
      <c r="O164" s="50"/>
      <c r="P164" s="50"/>
      <c r="Q164" s="50"/>
    </row>
    <row r="165" spans="1:17">
      <c r="A165" s="45"/>
      <c r="B165" s="45"/>
      <c r="C165" s="45"/>
      <c r="D165" s="46"/>
      <c r="E165" s="47"/>
      <c r="F165" s="46"/>
      <c r="G165" s="45"/>
      <c r="H165" s="48"/>
      <c r="I165" s="45"/>
      <c r="J165" s="45"/>
      <c r="K165" s="49"/>
      <c r="L165" s="45"/>
      <c r="M165" s="45"/>
      <c r="N165" s="49"/>
      <c r="O165" s="45"/>
      <c r="P165" s="45"/>
      <c r="Q165" s="45"/>
    </row>
    <row r="166" spans="1:17">
      <c r="A166" s="50"/>
      <c r="B166" s="50"/>
      <c r="C166" s="50"/>
      <c r="D166" s="51"/>
      <c r="E166" s="52"/>
      <c r="F166" s="51"/>
      <c r="G166" s="50"/>
      <c r="H166" s="53"/>
      <c r="I166" s="50"/>
      <c r="J166" s="50"/>
      <c r="K166" s="54"/>
      <c r="L166" s="50"/>
      <c r="M166" s="50"/>
      <c r="N166" s="54"/>
      <c r="O166" s="50"/>
      <c r="P166" s="50"/>
      <c r="Q166" s="50"/>
    </row>
    <row r="167" spans="1:17">
      <c r="A167" s="45"/>
      <c r="B167" s="45"/>
      <c r="C167" s="45"/>
      <c r="D167" s="46"/>
      <c r="E167" s="47"/>
      <c r="F167" s="46"/>
      <c r="G167" s="45"/>
      <c r="H167" s="48"/>
      <c r="I167" s="45"/>
      <c r="J167" s="45"/>
      <c r="K167" s="49"/>
      <c r="L167" s="45"/>
      <c r="M167" s="45"/>
      <c r="N167" s="49"/>
      <c r="O167" s="45"/>
      <c r="P167" s="45"/>
      <c r="Q167" s="45"/>
    </row>
    <row r="168" spans="1:17">
      <c r="A168" s="50"/>
      <c r="B168" s="50"/>
      <c r="C168" s="50"/>
      <c r="D168" s="51"/>
      <c r="E168" s="52"/>
      <c r="F168" s="51"/>
      <c r="G168" s="50"/>
      <c r="H168" s="53"/>
      <c r="I168" s="50"/>
      <c r="J168" s="50"/>
      <c r="K168" s="54"/>
      <c r="L168" s="50"/>
      <c r="M168" s="50"/>
      <c r="N168" s="54"/>
      <c r="O168" s="50"/>
      <c r="P168" s="50"/>
      <c r="Q168" s="50"/>
    </row>
    <row r="169" spans="1:17">
      <c r="A169" s="45"/>
      <c r="B169" s="45"/>
      <c r="C169" s="45"/>
      <c r="D169" s="46"/>
      <c r="E169" s="47"/>
      <c r="F169" s="46"/>
      <c r="G169" s="45"/>
      <c r="H169" s="48"/>
      <c r="I169" s="45"/>
      <c r="J169" s="45"/>
      <c r="K169" s="49"/>
      <c r="L169" s="45"/>
      <c r="M169" s="45"/>
      <c r="N169" s="49"/>
      <c r="O169" s="45"/>
      <c r="P169" s="45"/>
      <c r="Q169" s="45"/>
    </row>
    <row r="170" spans="1:17">
      <c r="A170" s="50"/>
      <c r="B170" s="50"/>
      <c r="C170" s="50"/>
      <c r="D170" s="51"/>
      <c r="E170" s="52"/>
      <c r="F170" s="51"/>
      <c r="G170" s="50"/>
      <c r="H170" s="53"/>
      <c r="I170" s="50"/>
      <c r="J170" s="50"/>
      <c r="K170" s="54"/>
      <c r="L170" s="50"/>
      <c r="M170" s="50"/>
      <c r="N170" s="54"/>
      <c r="O170" s="50"/>
      <c r="P170" s="50"/>
      <c r="Q170" s="50"/>
    </row>
    <row r="171" spans="1:17">
      <c r="A171" s="45"/>
      <c r="B171" s="45"/>
      <c r="C171" s="45"/>
      <c r="D171" s="46"/>
      <c r="E171" s="47"/>
      <c r="F171" s="46"/>
      <c r="G171" s="45"/>
      <c r="H171" s="48"/>
      <c r="I171" s="45"/>
      <c r="J171" s="45"/>
      <c r="K171" s="49"/>
      <c r="L171" s="45"/>
      <c r="M171" s="45"/>
      <c r="N171" s="49"/>
      <c r="O171" s="45"/>
      <c r="P171" s="45"/>
      <c r="Q171" s="45"/>
    </row>
    <row r="172" spans="1:17">
      <c r="A172" s="50"/>
      <c r="B172" s="50"/>
      <c r="C172" s="50"/>
      <c r="D172" s="51"/>
      <c r="E172" s="52"/>
      <c r="F172" s="51"/>
      <c r="G172" s="50"/>
      <c r="H172" s="53"/>
      <c r="I172" s="50"/>
      <c r="J172" s="50"/>
      <c r="K172" s="54"/>
      <c r="L172" s="50"/>
      <c r="M172" s="50"/>
      <c r="N172" s="54"/>
      <c r="O172" s="50"/>
      <c r="P172" s="50"/>
      <c r="Q172" s="50"/>
    </row>
    <row r="173" spans="1:17">
      <c r="A173" s="45"/>
      <c r="B173" s="45"/>
      <c r="C173" s="45"/>
      <c r="D173" s="46"/>
      <c r="E173" s="47"/>
      <c r="F173" s="46"/>
      <c r="G173" s="45"/>
      <c r="H173" s="48"/>
      <c r="I173" s="45"/>
      <c r="J173" s="45"/>
      <c r="K173" s="49"/>
      <c r="L173" s="45"/>
      <c r="M173" s="45"/>
      <c r="N173" s="49"/>
      <c r="O173" s="45"/>
      <c r="P173" s="45"/>
      <c r="Q173" s="45"/>
    </row>
    <row r="174" spans="1:17">
      <c r="A174" s="50"/>
      <c r="B174" s="50"/>
      <c r="C174" s="50"/>
      <c r="D174" s="51"/>
      <c r="E174" s="52"/>
      <c r="F174" s="51"/>
      <c r="G174" s="50"/>
      <c r="H174" s="53"/>
      <c r="I174" s="50"/>
      <c r="J174" s="50"/>
      <c r="K174" s="54"/>
      <c r="L174" s="50"/>
      <c r="M174" s="50"/>
      <c r="N174" s="54"/>
      <c r="O174" s="50"/>
      <c r="P174" s="50"/>
      <c r="Q174" s="50"/>
    </row>
    <row r="175" spans="1:17">
      <c r="A175" s="45"/>
      <c r="B175" s="45"/>
      <c r="C175" s="45"/>
      <c r="D175" s="46"/>
      <c r="E175" s="47"/>
      <c r="F175" s="46"/>
      <c r="G175" s="45"/>
      <c r="H175" s="48"/>
      <c r="I175" s="45"/>
      <c r="J175" s="45"/>
      <c r="K175" s="49"/>
      <c r="L175" s="45"/>
      <c r="M175" s="45"/>
      <c r="N175" s="49"/>
      <c r="O175" s="45"/>
      <c r="P175" s="45"/>
      <c r="Q175" s="45"/>
    </row>
    <row r="176" spans="1:17">
      <c r="A176" s="50"/>
      <c r="B176" s="50"/>
      <c r="C176" s="50"/>
      <c r="D176" s="51"/>
      <c r="E176" s="52"/>
      <c r="F176" s="51"/>
      <c r="G176" s="50"/>
      <c r="H176" s="53"/>
      <c r="I176" s="50"/>
      <c r="J176" s="50"/>
      <c r="K176" s="54"/>
      <c r="L176" s="50"/>
      <c r="M176" s="50"/>
      <c r="N176" s="54"/>
      <c r="O176" s="50"/>
      <c r="P176" s="50"/>
      <c r="Q176" s="50"/>
    </row>
    <row r="177" spans="1:17">
      <c r="A177" s="45"/>
      <c r="B177" s="45"/>
      <c r="C177" s="45"/>
      <c r="D177" s="46"/>
      <c r="E177" s="47"/>
      <c r="F177" s="46"/>
      <c r="G177" s="45"/>
      <c r="H177" s="48"/>
      <c r="I177" s="45"/>
      <c r="J177" s="45"/>
      <c r="K177" s="49"/>
      <c r="L177" s="45"/>
      <c r="M177" s="45"/>
      <c r="N177" s="49"/>
      <c r="O177" s="45"/>
      <c r="P177" s="45"/>
      <c r="Q177" s="45"/>
    </row>
    <row r="178" spans="1:17">
      <c r="A178" s="50"/>
      <c r="B178" s="50"/>
      <c r="C178" s="50"/>
      <c r="D178" s="51"/>
      <c r="E178" s="52"/>
      <c r="F178" s="51"/>
      <c r="G178" s="50"/>
      <c r="H178" s="53"/>
      <c r="I178" s="50"/>
      <c r="J178" s="50"/>
      <c r="K178" s="54"/>
      <c r="L178" s="50"/>
      <c r="M178" s="50"/>
      <c r="N178" s="54"/>
      <c r="O178" s="50"/>
      <c r="P178" s="50"/>
      <c r="Q178" s="50"/>
    </row>
    <row r="179" spans="1:17">
      <c r="A179" s="45"/>
      <c r="B179" s="45"/>
      <c r="C179" s="45"/>
      <c r="D179" s="46"/>
      <c r="E179" s="47"/>
      <c r="F179" s="46"/>
      <c r="G179" s="45"/>
      <c r="H179" s="48"/>
      <c r="I179" s="45"/>
      <c r="J179" s="45"/>
      <c r="K179" s="49"/>
      <c r="L179" s="45"/>
      <c r="M179" s="45"/>
      <c r="N179" s="49"/>
      <c r="O179" s="45"/>
      <c r="P179" s="45"/>
      <c r="Q179" s="45"/>
    </row>
    <row r="180" spans="1:17">
      <c r="A180" s="50"/>
      <c r="B180" s="50"/>
      <c r="C180" s="50"/>
      <c r="D180" s="51"/>
      <c r="E180" s="52"/>
      <c r="F180" s="51"/>
      <c r="G180" s="50"/>
      <c r="H180" s="53"/>
      <c r="I180" s="50"/>
      <c r="J180" s="50"/>
      <c r="K180" s="54"/>
      <c r="L180" s="50"/>
      <c r="M180" s="50"/>
      <c r="N180" s="54"/>
      <c r="O180" s="50"/>
      <c r="P180" s="50"/>
      <c r="Q180" s="50"/>
    </row>
    <row r="181" spans="1:17">
      <c r="A181" s="45"/>
      <c r="B181" s="45"/>
      <c r="C181" s="45"/>
      <c r="D181" s="46"/>
      <c r="E181" s="47"/>
      <c r="F181" s="46"/>
      <c r="G181" s="45"/>
      <c r="H181" s="48"/>
      <c r="I181" s="45"/>
      <c r="J181" s="45"/>
      <c r="K181" s="49"/>
      <c r="L181" s="45"/>
      <c r="M181" s="45"/>
      <c r="N181" s="49"/>
      <c r="O181" s="45"/>
      <c r="P181" s="45"/>
      <c r="Q181" s="45"/>
    </row>
    <row r="182" spans="1:17">
      <c r="A182" s="50"/>
      <c r="B182" s="50"/>
      <c r="C182" s="50"/>
      <c r="D182" s="51"/>
      <c r="E182" s="52"/>
      <c r="F182" s="51"/>
      <c r="G182" s="50"/>
      <c r="H182" s="53"/>
      <c r="I182" s="50"/>
      <c r="J182" s="50"/>
      <c r="K182" s="54"/>
      <c r="L182" s="50"/>
      <c r="M182" s="50"/>
      <c r="N182" s="54"/>
      <c r="O182" s="50"/>
      <c r="P182" s="50"/>
      <c r="Q182" s="50"/>
    </row>
    <row r="183" spans="1:17">
      <c r="A183" s="45"/>
      <c r="B183" s="45"/>
      <c r="C183" s="45"/>
      <c r="D183" s="46"/>
      <c r="E183" s="47"/>
      <c r="F183" s="46"/>
      <c r="G183" s="45"/>
      <c r="H183" s="48"/>
      <c r="I183" s="45"/>
      <c r="J183" s="45"/>
      <c r="K183" s="49"/>
      <c r="L183" s="45"/>
      <c r="M183" s="45"/>
      <c r="N183" s="49"/>
      <c r="O183" s="45"/>
      <c r="P183" s="45"/>
      <c r="Q183" s="45"/>
    </row>
    <row r="184" spans="1:17">
      <c r="A184" s="50"/>
      <c r="B184" s="50"/>
      <c r="C184" s="50"/>
      <c r="D184" s="51"/>
      <c r="E184" s="52"/>
      <c r="F184" s="51"/>
      <c r="G184" s="50"/>
      <c r="H184" s="53"/>
      <c r="I184" s="50"/>
      <c r="J184" s="50"/>
      <c r="K184" s="54"/>
      <c r="L184" s="50"/>
      <c r="M184" s="50"/>
      <c r="N184" s="54"/>
      <c r="O184" s="50"/>
      <c r="P184" s="50"/>
      <c r="Q184" s="50"/>
    </row>
    <row r="185" spans="1:17">
      <c r="A185" s="45"/>
      <c r="B185" s="45"/>
      <c r="C185" s="45"/>
      <c r="D185" s="46"/>
      <c r="E185" s="47"/>
      <c r="F185" s="46"/>
      <c r="G185" s="45"/>
      <c r="H185" s="48"/>
      <c r="I185" s="45"/>
      <c r="J185" s="45"/>
      <c r="K185" s="49"/>
      <c r="L185" s="45"/>
      <c r="M185" s="45"/>
      <c r="N185" s="49"/>
      <c r="O185" s="45"/>
      <c r="P185" s="45"/>
      <c r="Q185" s="45"/>
    </row>
    <row r="186" spans="1:17">
      <c r="A186" s="50"/>
      <c r="B186" s="50"/>
      <c r="C186" s="50"/>
      <c r="D186" s="51"/>
      <c r="E186" s="52"/>
      <c r="F186" s="51"/>
      <c r="G186" s="50"/>
      <c r="H186" s="53"/>
      <c r="I186" s="50"/>
      <c r="J186" s="50"/>
      <c r="K186" s="54"/>
      <c r="L186" s="50"/>
      <c r="M186" s="50"/>
      <c r="N186" s="54"/>
      <c r="O186" s="50"/>
      <c r="P186" s="50"/>
      <c r="Q186" s="50"/>
    </row>
    <row r="187" spans="1:17">
      <c r="A187" s="45"/>
      <c r="B187" s="45"/>
      <c r="C187" s="45"/>
      <c r="D187" s="46"/>
      <c r="E187" s="47"/>
      <c r="F187" s="46"/>
      <c r="G187" s="45"/>
      <c r="H187" s="48"/>
      <c r="I187" s="45"/>
      <c r="J187" s="45"/>
      <c r="K187" s="49"/>
      <c r="L187" s="45"/>
      <c r="M187" s="45"/>
      <c r="N187" s="49"/>
      <c r="O187" s="45"/>
      <c r="P187" s="45"/>
      <c r="Q187" s="45"/>
    </row>
    <row r="188" spans="1:17">
      <c r="A188" s="50"/>
      <c r="B188" s="50"/>
      <c r="C188" s="50"/>
      <c r="D188" s="51"/>
      <c r="E188" s="52"/>
      <c r="F188" s="51"/>
      <c r="G188" s="50"/>
      <c r="H188" s="53"/>
      <c r="I188" s="50"/>
      <c r="J188" s="50"/>
      <c r="K188" s="54"/>
      <c r="L188" s="50"/>
      <c r="M188" s="50"/>
      <c r="N188" s="54"/>
      <c r="O188" s="50"/>
      <c r="P188" s="50"/>
      <c r="Q188" s="50"/>
    </row>
    <row r="189" spans="1:17">
      <c r="A189" s="45"/>
      <c r="B189" s="45"/>
      <c r="C189" s="45"/>
      <c r="D189" s="46"/>
      <c r="E189" s="47"/>
      <c r="F189" s="46"/>
      <c r="G189" s="45"/>
      <c r="H189" s="48"/>
      <c r="I189" s="45"/>
      <c r="J189" s="45"/>
      <c r="K189" s="49"/>
      <c r="L189" s="45"/>
      <c r="M189" s="45"/>
      <c r="N189" s="49"/>
      <c r="O189" s="45"/>
      <c r="P189" s="45"/>
      <c r="Q189" s="45"/>
    </row>
    <row r="190" spans="1:17">
      <c r="A190" s="50"/>
      <c r="B190" s="50"/>
      <c r="C190" s="50"/>
      <c r="D190" s="51"/>
      <c r="E190" s="52"/>
      <c r="F190" s="51"/>
      <c r="G190" s="50"/>
      <c r="H190" s="53"/>
      <c r="I190" s="50"/>
      <c r="J190" s="50"/>
      <c r="K190" s="54"/>
      <c r="L190" s="50"/>
      <c r="M190" s="50"/>
      <c r="N190" s="54"/>
      <c r="O190" s="50"/>
      <c r="P190" s="50"/>
      <c r="Q190" s="50"/>
    </row>
    <row r="191" spans="1:17">
      <c r="A191" s="45"/>
      <c r="B191" s="45"/>
      <c r="C191" s="45"/>
      <c r="D191" s="46"/>
      <c r="E191" s="47"/>
      <c r="F191" s="46"/>
      <c r="G191" s="45"/>
      <c r="H191" s="48"/>
      <c r="I191" s="45"/>
      <c r="J191" s="45"/>
      <c r="K191" s="49"/>
      <c r="L191" s="45"/>
      <c r="M191" s="45"/>
      <c r="N191" s="49"/>
      <c r="O191" s="45"/>
      <c r="P191" s="45"/>
      <c r="Q191" s="45"/>
    </row>
    <row r="192" spans="1:17">
      <c r="A192" s="50"/>
      <c r="B192" s="50"/>
      <c r="C192" s="50"/>
      <c r="D192" s="51"/>
      <c r="E192" s="52"/>
      <c r="F192" s="51"/>
      <c r="G192" s="50"/>
      <c r="H192" s="53"/>
      <c r="I192" s="50"/>
      <c r="J192" s="50"/>
      <c r="K192" s="54"/>
      <c r="L192" s="50"/>
      <c r="M192" s="50"/>
      <c r="N192" s="54"/>
      <c r="O192" s="50"/>
      <c r="P192" s="50"/>
      <c r="Q192" s="50"/>
    </row>
    <row r="193" spans="1:17">
      <c r="A193" s="45"/>
      <c r="B193" s="45"/>
      <c r="C193" s="45"/>
      <c r="D193" s="46"/>
      <c r="E193" s="47"/>
      <c r="F193" s="46"/>
      <c r="G193" s="45"/>
      <c r="H193" s="48"/>
      <c r="I193" s="45"/>
      <c r="J193" s="45"/>
      <c r="K193" s="49"/>
      <c r="L193" s="45"/>
      <c r="M193" s="45"/>
      <c r="N193" s="49"/>
      <c r="O193" s="45"/>
      <c r="P193" s="45"/>
      <c r="Q193" s="45"/>
    </row>
    <row r="194" spans="1:17">
      <c r="A194" s="50"/>
      <c r="B194" s="50"/>
      <c r="C194" s="50"/>
      <c r="D194" s="51"/>
      <c r="E194" s="52"/>
      <c r="F194" s="51"/>
      <c r="G194" s="50"/>
      <c r="H194" s="53"/>
      <c r="I194" s="50"/>
      <c r="J194" s="50"/>
      <c r="K194" s="54"/>
      <c r="L194" s="50"/>
      <c r="M194" s="50"/>
      <c r="N194" s="54"/>
      <c r="O194" s="50"/>
      <c r="P194" s="50"/>
      <c r="Q194" s="50"/>
    </row>
    <row r="195" spans="1:17">
      <c r="A195" s="45"/>
      <c r="B195" s="45"/>
      <c r="C195" s="45"/>
      <c r="D195" s="46"/>
      <c r="E195" s="47"/>
      <c r="F195" s="46"/>
      <c r="G195" s="45"/>
      <c r="H195" s="48"/>
      <c r="I195" s="45"/>
      <c r="J195" s="45"/>
      <c r="K195" s="49"/>
      <c r="L195" s="45"/>
      <c r="M195" s="45"/>
      <c r="N195" s="49"/>
      <c r="O195" s="45"/>
      <c r="P195" s="45"/>
      <c r="Q195" s="45"/>
    </row>
    <row r="196" spans="1:17">
      <c r="A196" s="50"/>
      <c r="B196" s="50"/>
      <c r="C196" s="50"/>
      <c r="D196" s="51"/>
      <c r="E196" s="52"/>
      <c r="F196" s="51"/>
      <c r="G196" s="50"/>
      <c r="H196" s="53"/>
      <c r="I196" s="50"/>
      <c r="J196" s="50"/>
      <c r="K196" s="54"/>
      <c r="L196" s="50"/>
      <c r="M196" s="50"/>
      <c r="N196" s="54"/>
      <c r="O196" s="50"/>
      <c r="P196" s="50"/>
      <c r="Q196" s="50"/>
    </row>
    <row r="197" spans="1:17">
      <c r="A197" s="45"/>
      <c r="B197" s="45"/>
      <c r="C197" s="45"/>
      <c r="D197" s="46"/>
      <c r="E197" s="47"/>
      <c r="F197" s="46"/>
      <c r="G197" s="45"/>
      <c r="H197" s="48"/>
      <c r="I197" s="45"/>
      <c r="J197" s="45"/>
      <c r="K197" s="49"/>
      <c r="L197" s="45"/>
      <c r="M197" s="45"/>
      <c r="N197" s="49"/>
      <c r="O197" s="45"/>
      <c r="P197" s="45"/>
      <c r="Q197" s="45"/>
    </row>
    <row r="198" spans="1:17">
      <c r="A198" s="50"/>
      <c r="B198" s="50"/>
      <c r="C198" s="50"/>
      <c r="D198" s="51"/>
      <c r="E198" s="52"/>
      <c r="F198" s="51"/>
      <c r="G198" s="50"/>
      <c r="H198" s="53"/>
      <c r="I198" s="50"/>
      <c r="J198" s="50"/>
      <c r="K198" s="54"/>
      <c r="L198" s="50"/>
      <c r="M198" s="50"/>
      <c r="N198" s="54"/>
      <c r="O198" s="50"/>
      <c r="P198" s="50"/>
      <c r="Q198" s="50"/>
    </row>
    <row r="199" spans="1:17">
      <c r="A199" s="45"/>
      <c r="B199" s="45"/>
      <c r="C199" s="45"/>
      <c r="D199" s="46"/>
      <c r="E199" s="47"/>
      <c r="F199" s="46"/>
      <c r="G199" s="45"/>
      <c r="H199" s="48"/>
      <c r="I199" s="45"/>
      <c r="J199" s="45"/>
      <c r="K199" s="49"/>
      <c r="L199" s="45"/>
      <c r="M199" s="45"/>
      <c r="N199" s="49"/>
      <c r="O199" s="45"/>
      <c r="P199" s="45"/>
      <c r="Q199" s="45"/>
    </row>
    <row r="200" spans="1:17">
      <c r="A200" s="50"/>
      <c r="B200" s="50"/>
      <c r="C200" s="50"/>
      <c r="D200" s="51"/>
      <c r="E200" s="52"/>
      <c r="F200" s="51"/>
      <c r="G200" s="50"/>
      <c r="H200" s="53"/>
      <c r="I200" s="50"/>
      <c r="J200" s="50"/>
      <c r="K200" s="54"/>
      <c r="L200" s="50"/>
      <c r="M200" s="50"/>
      <c r="N200" s="54"/>
      <c r="O200" s="50"/>
      <c r="P200" s="50"/>
      <c r="Q200" s="50"/>
    </row>
    <row r="201" spans="1:17">
      <c r="A201" s="45"/>
      <c r="B201" s="45"/>
      <c r="C201" s="45"/>
      <c r="D201" s="46"/>
      <c r="E201" s="47"/>
      <c r="F201" s="46"/>
      <c r="G201" s="45"/>
      <c r="H201" s="48"/>
      <c r="I201" s="45"/>
      <c r="J201" s="45"/>
      <c r="K201" s="49"/>
      <c r="L201" s="45"/>
      <c r="M201" s="45"/>
      <c r="N201" s="49"/>
      <c r="O201" s="45"/>
      <c r="P201" s="45"/>
      <c r="Q201" s="45"/>
    </row>
    <row r="202" spans="1:17">
      <c r="A202" s="50"/>
      <c r="B202" s="50"/>
      <c r="C202" s="50"/>
      <c r="D202" s="51"/>
      <c r="E202" s="52"/>
      <c r="F202" s="51"/>
      <c r="G202" s="50"/>
      <c r="H202" s="53"/>
      <c r="I202" s="50"/>
      <c r="J202" s="50"/>
      <c r="K202" s="54"/>
      <c r="L202" s="50"/>
      <c r="M202" s="50"/>
      <c r="N202" s="54"/>
      <c r="O202" s="50"/>
      <c r="P202" s="50"/>
      <c r="Q202" s="50"/>
    </row>
    <row r="203" spans="1:17">
      <c r="A203" s="45"/>
      <c r="B203" s="45"/>
      <c r="C203" s="45"/>
      <c r="D203" s="46"/>
      <c r="E203" s="47"/>
      <c r="F203" s="46"/>
      <c r="G203" s="45"/>
      <c r="H203" s="48"/>
      <c r="I203" s="45"/>
      <c r="J203" s="45"/>
      <c r="K203" s="49"/>
      <c r="L203" s="45"/>
      <c r="M203" s="45"/>
      <c r="N203" s="49"/>
      <c r="O203" s="45"/>
      <c r="P203" s="45"/>
      <c r="Q203" s="45"/>
    </row>
    <row r="204" spans="1:17">
      <c r="A204" s="50"/>
      <c r="B204" s="50"/>
      <c r="C204" s="50"/>
      <c r="D204" s="51"/>
      <c r="E204" s="52"/>
      <c r="F204" s="51"/>
      <c r="G204" s="50"/>
      <c r="H204" s="53"/>
      <c r="I204" s="50"/>
      <c r="J204" s="50"/>
      <c r="K204" s="54"/>
      <c r="L204" s="50"/>
      <c r="M204" s="50"/>
      <c r="N204" s="54"/>
      <c r="O204" s="50"/>
      <c r="P204" s="50"/>
      <c r="Q204" s="50"/>
    </row>
    <row r="205" spans="1:17">
      <c r="A205" s="45"/>
      <c r="B205" s="45"/>
      <c r="C205" s="45"/>
      <c r="D205" s="46"/>
      <c r="E205" s="47"/>
      <c r="F205" s="46"/>
      <c r="G205" s="45"/>
      <c r="H205" s="48"/>
      <c r="I205" s="45"/>
      <c r="J205" s="45"/>
      <c r="K205" s="49"/>
      <c r="L205" s="45"/>
      <c r="M205" s="45"/>
      <c r="N205" s="49"/>
      <c r="O205" s="45"/>
      <c r="P205" s="45"/>
      <c r="Q205" s="45"/>
    </row>
    <row r="206" spans="1:17">
      <c r="A206" s="50"/>
      <c r="B206" s="50"/>
      <c r="C206" s="50"/>
      <c r="D206" s="51"/>
      <c r="E206" s="52"/>
      <c r="F206" s="51"/>
      <c r="G206" s="50"/>
      <c r="H206" s="53"/>
      <c r="I206" s="50"/>
      <c r="J206" s="50"/>
      <c r="K206" s="54"/>
      <c r="L206" s="50"/>
      <c r="M206" s="50"/>
      <c r="N206" s="54"/>
      <c r="O206" s="50"/>
      <c r="P206" s="50"/>
      <c r="Q206" s="50"/>
    </row>
    <row r="207" spans="1:17">
      <c r="A207" s="45"/>
      <c r="B207" s="45"/>
      <c r="C207" s="45"/>
      <c r="D207" s="46"/>
      <c r="E207" s="47"/>
      <c r="F207" s="46"/>
      <c r="G207" s="45"/>
      <c r="H207" s="48"/>
      <c r="I207" s="45"/>
      <c r="J207" s="45"/>
      <c r="K207" s="49"/>
      <c r="L207" s="45"/>
      <c r="M207" s="45"/>
      <c r="N207" s="49"/>
      <c r="O207" s="45"/>
      <c r="P207" s="45"/>
      <c r="Q207" s="45"/>
    </row>
    <row r="208" spans="1:17">
      <c r="A208" s="50"/>
      <c r="B208" s="50"/>
      <c r="C208" s="50"/>
      <c r="D208" s="51"/>
      <c r="E208" s="52"/>
      <c r="F208" s="51"/>
      <c r="G208" s="50"/>
      <c r="H208" s="53"/>
      <c r="I208" s="50"/>
      <c r="J208" s="50"/>
      <c r="K208" s="54"/>
      <c r="L208" s="50"/>
      <c r="M208" s="50"/>
      <c r="N208" s="54"/>
      <c r="O208" s="50"/>
      <c r="P208" s="50"/>
      <c r="Q208" s="50"/>
    </row>
    <row r="209" spans="1:17">
      <c r="A209" s="55"/>
      <c r="B209" s="55"/>
      <c r="C209" s="55"/>
      <c r="D209" s="56"/>
      <c r="E209" s="57"/>
      <c r="F209" s="56" t="str">
        <f t="shared" ref="F209:F258" si="4">IF(OR(D209="",E209=""),"",D209*E209)</f>
        <v/>
      </c>
      <c r="G209" s="55"/>
      <c r="H209" s="58"/>
      <c r="I209" s="55"/>
      <c r="J209" s="55"/>
      <c r="K209" s="59"/>
      <c r="L209" s="55"/>
      <c r="M209" s="55"/>
      <c r="N209" s="59"/>
      <c r="O209" s="55"/>
      <c r="P209" s="55"/>
      <c r="Q209" s="55"/>
    </row>
    <row r="210" spans="1:17">
      <c r="A210" s="55"/>
      <c r="B210" s="55"/>
      <c r="C210" s="55"/>
      <c r="D210" s="56"/>
      <c r="E210" s="57"/>
      <c r="F210" s="56" t="str">
        <f t="shared" si="4"/>
        <v/>
      </c>
      <c r="G210" s="55"/>
      <c r="H210" s="58"/>
      <c r="I210" s="55"/>
      <c r="J210" s="55"/>
      <c r="K210" s="59"/>
      <c r="L210" s="55"/>
      <c r="M210" s="55"/>
      <c r="N210" s="59"/>
      <c r="O210" s="55"/>
      <c r="P210" s="55"/>
      <c r="Q210" s="55"/>
    </row>
    <row r="211" spans="1:17">
      <c r="A211" s="55"/>
      <c r="B211" s="55"/>
      <c r="C211" s="55"/>
      <c r="D211" s="56"/>
      <c r="E211" s="57"/>
      <c r="F211" s="56" t="str">
        <f t="shared" si="4"/>
        <v/>
      </c>
      <c r="G211" s="55"/>
      <c r="H211" s="58"/>
      <c r="I211" s="55"/>
      <c r="J211" s="55"/>
      <c r="K211" s="59"/>
      <c r="L211" s="55"/>
      <c r="M211" s="55"/>
      <c r="N211" s="59"/>
      <c r="O211" s="55"/>
      <c r="P211" s="55"/>
      <c r="Q211" s="55"/>
    </row>
    <row r="212" spans="1:17">
      <c r="A212" s="55"/>
      <c r="B212" s="55"/>
      <c r="C212" s="55"/>
      <c r="D212" s="56"/>
      <c r="E212" s="57"/>
      <c r="F212" s="56" t="str">
        <f t="shared" si="4"/>
        <v/>
      </c>
      <c r="G212" s="55"/>
      <c r="H212" s="58"/>
      <c r="I212" s="55"/>
      <c r="J212" s="55"/>
      <c r="K212" s="59"/>
      <c r="L212" s="55"/>
      <c r="M212" s="55"/>
      <c r="N212" s="59"/>
      <c r="O212" s="55"/>
      <c r="P212" s="55"/>
      <c r="Q212" s="55"/>
    </row>
    <row r="213" spans="1:17">
      <c r="A213" s="55"/>
      <c r="B213" s="55"/>
      <c r="C213" s="55"/>
      <c r="D213" s="56"/>
      <c r="E213" s="57"/>
      <c r="F213" s="56" t="str">
        <f t="shared" si="4"/>
        <v/>
      </c>
      <c r="G213" s="55"/>
      <c r="H213" s="58"/>
      <c r="I213" s="55"/>
      <c r="J213" s="55"/>
      <c r="K213" s="59"/>
      <c r="L213" s="55"/>
      <c r="M213" s="55"/>
      <c r="N213" s="59"/>
      <c r="O213" s="55"/>
      <c r="P213" s="55"/>
      <c r="Q213" s="55"/>
    </row>
    <row r="214" spans="1:17">
      <c r="A214" s="55"/>
      <c r="B214" s="55"/>
      <c r="C214" s="55"/>
      <c r="D214" s="56"/>
      <c r="E214" s="57"/>
      <c r="F214" s="56" t="str">
        <f t="shared" si="4"/>
        <v/>
      </c>
      <c r="G214" s="55"/>
      <c r="H214" s="58"/>
      <c r="I214" s="55"/>
      <c r="J214" s="55"/>
      <c r="K214" s="59"/>
      <c r="L214" s="55"/>
      <c r="M214" s="55"/>
      <c r="N214" s="59"/>
      <c r="O214" s="55"/>
      <c r="P214" s="55"/>
      <c r="Q214" s="55"/>
    </row>
    <row r="215" spans="1:17">
      <c r="A215" s="55"/>
      <c r="B215" s="55"/>
      <c r="C215" s="55"/>
      <c r="D215" s="56"/>
      <c r="E215" s="57"/>
      <c r="F215" s="56" t="str">
        <f t="shared" si="4"/>
        <v/>
      </c>
      <c r="G215" s="55"/>
      <c r="H215" s="58"/>
      <c r="I215" s="55"/>
      <c r="J215" s="55"/>
      <c r="K215" s="59"/>
      <c r="L215" s="55"/>
      <c r="M215" s="55"/>
      <c r="N215" s="59"/>
      <c r="O215" s="55"/>
      <c r="P215" s="55"/>
      <c r="Q215" s="55"/>
    </row>
    <row r="216" spans="1:17">
      <c r="A216" s="55"/>
      <c r="B216" s="55"/>
      <c r="C216" s="55"/>
      <c r="D216" s="56"/>
      <c r="E216" s="57"/>
      <c r="F216" s="56" t="str">
        <f t="shared" si="4"/>
        <v/>
      </c>
      <c r="G216" s="55"/>
      <c r="H216" s="58"/>
      <c r="I216" s="55"/>
      <c r="J216" s="55"/>
      <c r="K216" s="59"/>
      <c r="L216" s="55"/>
      <c r="M216" s="55"/>
      <c r="N216" s="59"/>
      <c r="O216" s="55"/>
      <c r="P216" s="55"/>
      <c r="Q216" s="55"/>
    </row>
    <row r="217" spans="1:17">
      <c r="A217" s="55"/>
      <c r="B217" s="55"/>
      <c r="C217" s="55"/>
      <c r="D217" s="56"/>
      <c r="E217" s="57"/>
      <c r="F217" s="56" t="str">
        <f t="shared" si="4"/>
        <v/>
      </c>
      <c r="G217" s="55"/>
      <c r="H217" s="58"/>
      <c r="I217" s="55"/>
      <c r="J217" s="55"/>
      <c r="K217" s="59"/>
      <c r="L217" s="55"/>
      <c r="M217" s="55"/>
      <c r="N217" s="59"/>
      <c r="O217" s="55"/>
      <c r="P217" s="55"/>
      <c r="Q217" s="55"/>
    </row>
    <row r="218" spans="1:17">
      <c r="A218" s="55"/>
      <c r="B218" s="55"/>
      <c r="C218" s="55"/>
      <c r="D218" s="56"/>
      <c r="E218" s="57"/>
      <c r="F218" s="56" t="str">
        <f t="shared" si="4"/>
        <v/>
      </c>
      <c r="G218" s="55"/>
      <c r="H218" s="58"/>
      <c r="I218" s="55"/>
      <c r="J218" s="55"/>
      <c r="K218" s="59"/>
      <c r="L218" s="55"/>
      <c r="M218" s="55"/>
      <c r="N218" s="59"/>
      <c r="O218" s="55"/>
      <c r="P218" s="55"/>
      <c r="Q218" s="55"/>
    </row>
    <row r="219" spans="1:17">
      <c r="A219" s="55"/>
      <c r="B219" s="55"/>
      <c r="C219" s="55"/>
      <c r="D219" s="56"/>
      <c r="E219" s="57"/>
      <c r="F219" s="56" t="str">
        <f t="shared" si="4"/>
        <v/>
      </c>
      <c r="G219" s="55"/>
      <c r="H219" s="58"/>
      <c r="I219" s="55"/>
      <c r="J219" s="55"/>
      <c r="K219" s="59"/>
      <c r="L219" s="55"/>
      <c r="M219" s="55"/>
      <c r="N219" s="59"/>
      <c r="O219" s="55"/>
      <c r="P219" s="55"/>
      <c r="Q219" s="55"/>
    </row>
    <row r="220" spans="1:17">
      <c r="A220" s="55"/>
      <c r="B220" s="55"/>
      <c r="C220" s="55"/>
      <c r="D220" s="56"/>
      <c r="E220" s="57"/>
      <c r="F220" s="56" t="str">
        <f t="shared" si="4"/>
        <v/>
      </c>
      <c r="G220" s="55"/>
      <c r="H220" s="58"/>
      <c r="I220" s="55"/>
      <c r="J220" s="55"/>
      <c r="K220" s="59"/>
      <c r="L220" s="55"/>
      <c r="M220" s="55"/>
      <c r="N220" s="59"/>
      <c r="O220" s="55"/>
      <c r="P220" s="55"/>
      <c r="Q220" s="55"/>
    </row>
    <row r="221" spans="1:17">
      <c r="A221" s="55"/>
      <c r="B221" s="55"/>
      <c r="C221" s="55"/>
      <c r="D221" s="56"/>
      <c r="E221" s="57"/>
      <c r="F221" s="56" t="str">
        <f t="shared" si="4"/>
        <v/>
      </c>
      <c r="G221" s="55"/>
      <c r="H221" s="58"/>
      <c r="I221" s="55"/>
      <c r="J221" s="55"/>
      <c r="K221" s="59"/>
      <c r="L221" s="55"/>
      <c r="M221" s="55"/>
      <c r="N221" s="59"/>
      <c r="O221" s="55"/>
      <c r="P221" s="55"/>
      <c r="Q221" s="55"/>
    </row>
    <row r="222" spans="1:17">
      <c r="A222" s="55"/>
      <c r="B222" s="55"/>
      <c r="C222" s="55"/>
      <c r="D222" s="56"/>
      <c r="E222" s="57"/>
      <c r="F222" s="56" t="str">
        <f t="shared" si="4"/>
        <v/>
      </c>
      <c r="G222" s="55"/>
      <c r="H222" s="58"/>
      <c r="I222" s="55"/>
      <c r="J222" s="55"/>
      <c r="K222" s="59"/>
      <c r="L222" s="55"/>
      <c r="M222" s="55"/>
      <c r="N222" s="59"/>
      <c r="O222" s="55"/>
      <c r="P222" s="55"/>
      <c r="Q222" s="55"/>
    </row>
    <row r="223" spans="1:17">
      <c r="A223" s="55"/>
      <c r="B223" s="55"/>
      <c r="C223" s="55"/>
      <c r="D223" s="56"/>
      <c r="E223" s="57"/>
      <c r="F223" s="56" t="str">
        <f t="shared" si="4"/>
        <v/>
      </c>
      <c r="G223" s="55"/>
      <c r="H223" s="58"/>
      <c r="I223" s="55"/>
      <c r="J223" s="55"/>
      <c r="K223" s="59"/>
      <c r="L223" s="55"/>
      <c r="M223" s="55"/>
      <c r="N223" s="59"/>
      <c r="O223" s="55"/>
      <c r="P223" s="55"/>
      <c r="Q223" s="55"/>
    </row>
    <row r="224" spans="1:17">
      <c r="A224" s="55"/>
      <c r="B224" s="55"/>
      <c r="C224" s="55"/>
      <c r="D224" s="56"/>
      <c r="E224" s="57"/>
      <c r="F224" s="56" t="str">
        <f t="shared" si="4"/>
        <v/>
      </c>
      <c r="G224" s="55"/>
      <c r="H224" s="58"/>
      <c r="I224" s="55"/>
      <c r="J224" s="55"/>
      <c r="K224" s="59"/>
      <c r="L224" s="55"/>
      <c r="M224" s="55"/>
      <c r="N224" s="59"/>
      <c r="O224" s="55"/>
      <c r="P224" s="55"/>
      <c r="Q224" s="55"/>
    </row>
    <row r="225" spans="1:17">
      <c r="A225" s="55"/>
      <c r="B225" s="55"/>
      <c r="C225" s="55"/>
      <c r="D225" s="56"/>
      <c r="E225" s="57"/>
      <c r="F225" s="56" t="str">
        <f t="shared" si="4"/>
        <v/>
      </c>
      <c r="G225" s="55"/>
      <c r="H225" s="58"/>
      <c r="I225" s="55"/>
      <c r="J225" s="55"/>
      <c r="K225" s="59"/>
      <c r="L225" s="55"/>
      <c r="M225" s="55"/>
      <c r="N225" s="59"/>
      <c r="O225" s="55"/>
      <c r="P225" s="55"/>
      <c r="Q225" s="55"/>
    </row>
    <row r="226" spans="1:17">
      <c r="A226" s="55"/>
      <c r="B226" s="55"/>
      <c r="C226" s="55"/>
      <c r="D226" s="56"/>
      <c r="E226" s="57"/>
      <c r="F226" s="56" t="str">
        <f t="shared" si="4"/>
        <v/>
      </c>
      <c r="G226" s="55"/>
      <c r="H226" s="58"/>
      <c r="I226" s="55"/>
      <c r="J226" s="55"/>
      <c r="K226" s="59"/>
      <c r="L226" s="55"/>
      <c r="M226" s="55"/>
      <c r="N226" s="59"/>
      <c r="O226" s="55"/>
      <c r="P226" s="55"/>
      <c r="Q226" s="55"/>
    </row>
    <row r="227" spans="1:17">
      <c r="A227" s="55"/>
      <c r="B227" s="55"/>
      <c r="C227" s="55"/>
      <c r="D227" s="56"/>
      <c r="E227" s="57"/>
      <c r="F227" s="56" t="str">
        <f t="shared" si="4"/>
        <v/>
      </c>
      <c r="G227" s="55"/>
      <c r="H227" s="58"/>
      <c r="I227" s="55"/>
      <c r="J227" s="55"/>
      <c r="K227" s="59"/>
      <c r="L227" s="55"/>
      <c r="M227" s="55"/>
      <c r="N227" s="59"/>
      <c r="O227" s="55"/>
      <c r="P227" s="55"/>
      <c r="Q227" s="55"/>
    </row>
    <row r="228" spans="1:17">
      <c r="A228" s="55"/>
      <c r="B228" s="55"/>
      <c r="C228" s="55"/>
      <c r="D228" s="56"/>
      <c r="E228" s="57"/>
      <c r="F228" s="56" t="str">
        <f t="shared" si="4"/>
        <v/>
      </c>
      <c r="G228" s="55"/>
      <c r="H228" s="58"/>
      <c r="I228" s="55"/>
      <c r="J228" s="55"/>
      <c r="K228" s="59"/>
      <c r="L228" s="55"/>
      <c r="M228" s="55"/>
      <c r="N228" s="59"/>
      <c r="O228" s="55"/>
      <c r="P228" s="55"/>
      <c r="Q228" s="55"/>
    </row>
    <row r="229" spans="1:17">
      <c r="A229" s="55"/>
      <c r="B229" s="55"/>
      <c r="C229" s="55"/>
      <c r="D229" s="56"/>
      <c r="E229" s="57"/>
      <c r="F229" s="56" t="str">
        <f t="shared" si="4"/>
        <v/>
      </c>
      <c r="G229" s="55"/>
      <c r="H229" s="58"/>
      <c r="I229" s="55"/>
      <c r="J229" s="55"/>
      <c r="K229" s="59"/>
      <c r="L229" s="55"/>
      <c r="M229" s="55"/>
      <c r="N229" s="59"/>
      <c r="O229" s="55"/>
      <c r="P229" s="55"/>
      <c r="Q229" s="55"/>
    </row>
    <row r="230" spans="1:17">
      <c r="A230" s="55"/>
      <c r="B230" s="55"/>
      <c r="C230" s="55"/>
      <c r="D230" s="56"/>
      <c r="E230" s="57"/>
      <c r="F230" s="56" t="str">
        <f t="shared" si="4"/>
        <v/>
      </c>
      <c r="G230" s="55"/>
      <c r="H230" s="58"/>
      <c r="I230" s="55"/>
      <c r="J230" s="55"/>
      <c r="K230" s="59"/>
      <c r="L230" s="55"/>
      <c r="M230" s="55"/>
      <c r="N230" s="59"/>
      <c r="O230" s="55"/>
      <c r="P230" s="55"/>
      <c r="Q230" s="55"/>
    </row>
    <row r="231" spans="1:17">
      <c r="A231" s="55"/>
      <c r="B231" s="55"/>
      <c r="C231" s="55"/>
      <c r="D231" s="56"/>
      <c r="E231" s="57"/>
      <c r="F231" s="56" t="str">
        <f t="shared" si="4"/>
        <v/>
      </c>
      <c r="G231" s="55"/>
      <c r="H231" s="58"/>
      <c r="I231" s="55"/>
      <c r="J231" s="55"/>
      <c r="K231" s="59"/>
      <c r="L231" s="55"/>
      <c r="M231" s="55"/>
      <c r="N231" s="59"/>
      <c r="O231" s="55"/>
      <c r="P231" s="55"/>
      <c r="Q231" s="55"/>
    </row>
    <row r="232" spans="1:17">
      <c r="A232" s="55"/>
      <c r="B232" s="55"/>
      <c r="C232" s="55"/>
      <c r="D232" s="56"/>
      <c r="E232" s="57"/>
      <c r="F232" s="56" t="str">
        <f t="shared" si="4"/>
        <v/>
      </c>
      <c r="G232" s="55"/>
      <c r="H232" s="58"/>
      <c r="I232" s="55"/>
      <c r="J232" s="55"/>
      <c r="K232" s="59"/>
      <c r="L232" s="55"/>
      <c r="M232" s="55"/>
      <c r="N232" s="59"/>
      <c r="O232" s="55"/>
      <c r="P232" s="55"/>
      <c r="Q232" s="55"/>
    </row>
    <row r="233" spans="1:17">
      <c r="A233" s="55"/>
      <c r="B233" s="55"/>
      <c r="C233" s="55"/>
      <c r="D233" s="56"/>
      <c r="E233" s="57"/>
      <c r="F233" s="56" t="str">
        <f t="shared" si="4"/>
        <v/>
      </c>
      <c r="G233" s="55"/>
      <c r="H233" s="58"/>
      <c r="I233" s="55"/>
      <c r="J233" s="55"/>
      <c r="K233" s="59"/>
      <c r="L233" s="55"/>
      <c r="M233" s="55"/>
      <c r="N233" s="59"/>
      <c r="O233" s="55"/>
      <c r="P233" s="55"/>
      <c r="Q233" s="55"/>
    </row>
    <row r="234" spans="1:17">
      <c r="A234" s="55"/>
      <c r="B234" s="55"/>
      <c r="C234" s="55"/>
      <c r="D234" s="56"/>
      <c r="E234" s="57"/>
      <c r="F234" s="56" t="str">
        <f t="shared" si="4"/>
        <v/>
      </c>
      <c r="G234" s="55"/>
      <c r="H234" s="58"/>
      <c r="I234" s="55"/>
      <c r="J234" s="55"/>
      <c r="K234" s="59"/>
      <c r="L234" s="55"/>
      <c r="M234" s="55"/>
      <c r="N234" s="59"/>
      <c r="O234" s="55"/>
      <c r="P234" s="55"/>
      <c r="Q234" s="55"/>
    </row>
    <row r="235" spans="1:17">
      <c r="A235" s="55"/>
      <c r="B235" s="55"/>
      <c r="C235" s="55"/>
      <c r="D235" s="56"/>
      <c r="E235" s="57"/>
      <c r="F235" s="56" t="str">
        <f t="shared" si="4"/>
        <v/>
      </c>
      <c r="G235" s="55"/>
      <c r="H235" s="58"/>
      <c r="I235" s="55"/>
      <c r="J235" s="55"/>
      <c r="K235" s="59"/>
      <c r="L235" s="55"/>
      <c r="M235" s="55"/>
      <c r="N235" s="59"/>
      <c r="O235" s="55"/>
      <c r="P235" s="55"/>
      <c r="Q235" s="55"/>
    </row>
    <row r="236" spans="1:17">
      <c r="A236" s="55"/>
      <c r="B236" s="55"/>
      <c r="C236" s="55"/>
      <c r="D236" s="56"/>
      <c r="E236" s="57"/>
      <c r="F236" s="56" t="str">
        <f t="shared" si="4"/>
        <v/>
      </c>
      <c r="G236" s="55"/>
      <c r="H236" s="58"/>
      <c r="I236" s="55"/>
      <c r="J236" s="55"/>
      <c r="K236" s="59"/>
      <c r="L236" s="55"/>
      <c r="M236" s="55"/>
      <c r="N236" s="59"/>
      <c r="O236" s="55"/>
      <c r="P236" s="55"/>
      <c r="Q236" s="55"/>
    </row>
    <row r="237" spans="1:17">
      <c r="A237" s="55"/>
      <c r="B237" s="55"/>
      <c r="C237" s="55"/>
      <c r="D237" s="56"/>
      <c r="E237" s="57"/>
      <c r="F237" s="56" t="str">
        <f t="shared" si="4"/>
        <v/>
      </c>
      <c r="G237" s="55"/>
      <c r="H237" s="58"/>
      <c r="I237" s="55"/>
      <c r="J237" s="55"/>
      <c r="K237" s="59"/>
      <c r="L237" s="55"/>
      <c r="M237" s="55"/>
      <c r="N237" s="59"/>
      <c r="O237" s="55"/>
      <c r="P237" s="55"/>
      <c r="Q237" s="55"/>
    </row>
    <row r="238" spans="1:17">
      <c r="A238" s="55"/>
      <c r="B238" s="55"/>
      <c r="C238" s="55"/>
      <c r="D238" s="56"/>
      <c r="E238" s="57"/>
      <c r="F238" s="56" t="str">
        <f t="shared" si="4"/>
        <v/>
      </c>
      <c r="G238" s="55"/>
      <c r="H238" s="58"/>
      <c r="I238" s="55"/>
      <c r="J238" s="55"/>
      <c r="K238" s="59"/>
      <c r="L238" s="55"/>
      <c r="M238" s="55"/>
      <c r="N238" s="59"/>
      <c r="O238" s="55"/>
      <c r="P238" s="55"/>
      <c r="Q238" s="55"/>
    </row>
    <row r="239" spans="1:17">
      <c r="A239" s="55"/>
      <c r="B239" s="55"/>
      <c r="C239" s="55"/>
      <c r="D239" s="56"/>
      <c r="E239" s="57"/>
      <c r="F239" s="56" t="str">
        <f t="shared" si="4"/>
        <v/>
      </c>
      <c r="G239" s="55"/>
      <c r="H239" s="58"/>
      <c r="I239" s="55"/>
      <c r="J239" s="55"/>
      <c r="K239" s="59"/>
      <c r="L239" s="55"/>
      <c r="M239" s="55"/>
      <c r="N239" s="59"/>
      <c r="O239" s="55"/>
      <c r="P239" s="55"/>
      <c r="Q239" s="55"/>
    </row>
    <row r="240" spans="1:17">
      <c r="A240" s="55"/>
      <c r="B240" s="55"/>
      <c r="C240" s="55"/>
      <c r="D240" s="56"/>
      <c r="E240" s="57"/>
      <c r="F240" s="56" t="str">
        <f t="shared" si="4"/>
        <v/>
      </c>
      <c r="G240" s="55"/>
      <c r="H240" s="58"/>
      <c r="I240" s="55"/>
      <c r="J240" s="55"/>
      <c r="K240" s="59"/>
      <c r="L240" s="55"/>
      <c r="M240" s="55"/>
      <c r="N240" s="59"/>
      <c r="O240" s="55"/>
      <c r="P240" s="55"/>
      <c r="Q240" s="55"/>
    </row>
    <row r="241" spans="1:17">
      <c r="A241" s="55"/>
      <c r="B241" s="55"/>
      <c r="C241" s="55"/>
      <c r="D241" s="56"/>
      <c r="E241" s="57"/>
      <c r="F241" s="56" t="str">
        <f t="shared" si="4"/>
        <v/>
      </c>
      <c r="G241" s="55"/>
      <c r="H241" s="58"/>
      <c r="I241" s="55"/>
      <c r="J241" s="55"/>
      <c r="K241" s="59"/>
      <c r="L241" s="55"/>
      <c r="M241" s="55"/>
      <c r="N241" s="59"/>
      <c r="O241" s="55"/>
      <c r="P241" s="55"/>
      <c r="Q241" s="55"/>
    </row>
    <row r="242" spans="1:17">
      <c r="A242" s="55"/>
      <c r="B242" s="55"/>
      <c r="C242" s="55"/>
      <c r="D242" s="56"/>
      <c r="E242" s="57"/>
      <c r="F242" s="56" t="str">
        <f t="shared" si="4"/>
        <v/>
      </c>
      <c r="G242" s="55"/>
      <c r="H242" s="58"/>
      <c r="I242" s="55"/>
      <c r="J242" s="55"/>
      <c r="K242" s="59"/>
      <c r="L242" s="55"/>
      <c r="M242" s="55"/>
      <c r="N242" s="59"/>
      <c r="O242" s="55"/>
      <c r="P242" s="55"/>
      <c r="Q242" s="55"/>
    </row>
    <row r="243" spans="1:17">
      <c r="A243" s="55"/>
      <c r="B243" s="55"/>
      <c r="C243" s="55"/>
      <c r="D243" s="56"/>
      <c r="E243" s="57"/>
      <c r="F243" s="56" t="str">
        <f t="shared" si="4"/>
        <v/>
      </c>
      <c r="G243" s="55"/>
      <c r="H243" s="58"/>
      <c r="I243" s="55"/>
      <c r="J243" s="55"/>
      <c r="K243" s="59"/>
      <c r="L243" s="55"/>
      <c r="M243" s="55"/>
      <c r="N243" s="59"/>
      <c r="O243" s="55"/>
      <c r="P243" s="55"/>
      <c r="Q243" s="55"/>
    </row>
    <row r="244" spans="1:17">
      <c r="A244" s="55"/>
      <c r="B244" s="55"/>
      <c r="C244" s="55"/>
      <c r="D244" s="56"/>
      <c r="E244" s="57"/>
      <c r="F244" s="56" t="str">
        <f t="shared" si="4"/>
        <v/>
      </c>
      <c r="G244" s="55"/>
      <c r="H244" s="58"/>
      <c r="I244" s="55"/>
      <c r="J244" s="55"/>
      <c r="K244" s="59"/>
      <c r="L244" s="55"/>
      <c r="M244" s="55"/>
      <c r="N244" s="59"/>
      <c r="O244" s="55"/>
      <c r="P244" s="55"/>
      <c r="Q244" s="55"/>
    </row>
    <row r="245" spans="1:17">
      <c r="A245" s="55"/>
      <c r="B245" s="55"/>
      <c r="C245" s="55"/>
      <c r="D245" s="56"/>
      <c r="E245" s="57"/>
      <c r="F245" s="56" t="str">
        <f t="shared" si="4"/>
        <v/>
      </c>
      <c r="G245" s="55"/>
      <c r="H245" s="58"/>
      <c r="I245" s="55"/>
      <c r="J245" s="55"/>
      <c r="K245" s="59"/>
      <c r="L245" s="55"/>
      <c r="M245" s="55"/>
      <c r="N245" s="59"/>
      <c r="O245" s="55"/>
      <c r="P245" s="55"/>
      <c r="Q245" s="55"/>
    </row>
    <row r="246" spans="1:17">
      <c r="A246" s="55"/>
      <c r="B246" s="55"/>
      <c r="C246" s="55"/>
      <c r="D246" s="56"/>
      <c r="E246" s="57"/>
      <c r="F246" s="56" t="str">
        <f t="shared" si="4"/>
        <v/>
      </c>
      <c r="G246" s="55"/>
      <c r="H246" s="58"/>
      <c r="I246" s="55"/>
      <c r="J246" s="55"/>
      <c r="K246" s="59"/>
      <c r="L246" s="55"/>
      <c r="M246" s="55"/>
      <c r="N246" s="59"/>
      <c r="O246" s="55"/>
      <c r="P246" s="55"/>
      <c r="Q246" s="55"/>
    </row>
    <row r="247" spans="1:17">
      <c r="A247" s="55"/>
      <c r="B247" s="55"/>
      <c r="C247" s="55"/>
      <c r="D247" s="56"/>
      <c r="E247" s="57"/>
      <c r="F247" s="56" t="str">
        <f t="shared" si="4"/>
        <v/>
      </c>
      <c r="G247" s="55"/>
      <c r="H247" s="58"/>
      <c r="I247" s="55"/>
      <c r="J247" s="55"/>
      <c r="K247" s="59"/>
      <c r="L247" s="55"/>
      <c r="M247" s="55"/>
      <c r="N247" s="59"/>
      <c r="O247" s="55"/>
      <c r="P247" s="55"/>
      <c r="Q247" s="55"/>
    </row>
    <row r="248" spans="1:17">
      <c r="A248" s="55"/>
      <c r="B248" s="55"/>
      <c r="C248" s="55"/>
      <c r="D248" s="56"/>
      <c r="E248" s="57"/>
      <c r="F248" s="56" t="str">
        <f t="shared" si="4"/>
        <v/>
      </c>
      <c r="G248" s="55"/>
      <c r="H248" s="58"/>
      <c r="I248" s="55"/>
      <c r="J248" s="55"/>
      <c r="K248" s="59"/>
      <c r="L248" s="55"/>
      <c r="M248" s="55"/>
      <c r="N248" s="59"/>
      <c r="O248" s="55"/>
      <c r="P248" s="55"/>
      <c r="Q248" s="55"/>
    </row>
    <row r="249" spans="1:17">
      <c r="A249" s="55"/>
      <c r="B249" s="55"/>
      <c r="C249" s="55"/>
      <c r="D249" s="56"/>
      <c r="E249" s="57"/>
      <c r="F249" s="56" t="str">
        <f t="shared" si="4"/>
        <v/>
      </c>
      <c r="G249" s="55"/>
      <c r="H249" s="58"/>
      <c r="I249" s="55"/>
      <c r="J249" s="55"/>
      <c r="K249" s="59"/>
      <c r="L249" s="55"/>
      <c r="M249" s="55"/>
      <c r="N249" s="59"/>
      <c r="O249" s="55"/>
      <c r="P249" s="55"/>
      <c r="Q249" s="55"/>
    </row>
    <row r="250" spans="1:17">
      <c r="A250" s="55"/>
      <c r="B250" s="55"/>
      <c r="C250" s="55"/>
      <c r="D250" s="56"/>
      <c r="E250" s="57"/>
      <c r="F250" s="56" t="str">
        <f t="shared" si="4"/>
        <v/>
      </c>
      <c r="G250" s="55"/>
      <c r="H250" s="58"/>
      <c r="I250" s="55"/>
      <c r="J250" s="55"/>
      <c r="K250" s="59"/>
      <c r="L250" s="55"/>
      <c r="M250" s="55"/>
      <c r="N250" s="59"/>
      <c r="O250" s="55"/>
      <c r="P250" s="55"/>
      <c r="Q250" s="55"/>
    </row>
    <row r="251" spans="1:17">
      <c r="A251" s="55"/>
      <c r="B251" s="55"/>
      <c r="C251" s="55"/>
      <c r="D251" s="56"/>
      <c r="E251" s="57"/>
      <c r="F251" s="56" t="str">
        <f t="shared" si="4"/>
        <v/>
      </c>
      <c r="G251" s="55"/>
      <c r="H251" s="58"/>
      <c r="I251" s="55"/>
      <c r="J251" s="55"/>
      <c r="K251" s="59"/>
      <c r="L251" s="55"/>
      <c r="M251" s="55"/>
      <c r="N251" s="59"/>
      <c r="O251" s="55"/>
      <c r="P251" s="55"/>
      <c r="Q251" s="55"/>
    </row>
    <row r="252" spans="1:17">
      <c r="A252" s="55"/>
      <c r="B252" s="55"/>
      <c r="C252" s="55"/>
      <c r="D252" s="56"/>
      <c r="E252" s="57"/>
      <c r="F252" s="56" t="str">
        <f t="shared" si="4"/>
        <v/>
      </c>
      <c r="G252" s="55"/>
      <c r="H252" s="58"/>
      <c r="I252" s="55"/>
      <c r="J252" s="55"/>
      <c r="K252" s="59"/>
      <c r="L252" s="55"/>
      <c r="M252" s="55"/>
      <c r="N252" s="59"/>
      <c r="O252" s="55"/>
      <c r="P252" s="55"/>
      <c r="Q252" s="55"/>
    </row>
    <row r="253" spans="1:17">
      <c r="A253" s="55"/>
      <c r="B253" s="55"/>
      <c r="C253" s="55"/>
      <c r="D253" s="56"/>
      <c r="E253" s="57"/>
      <c r="F253" s="56" t="str">
        <f t="shared" si="4"/>
        <v/>
      </c>
      <c r="G253" s="55"/>
      <c r="H253" s="58"/>
      <c r="I253" s="55"/>
      <c r="J253" s="55"/>
      <c r="K253" s="59"/>
      <c r="L253" s="55"/>
      <c r="M253" s="55"/>
      <c r="N253" s="59"/>
      <c r="O253" s="55"/>
      <c r="P253" s="55"/>
      <c r="Q253" s="55"/>
    </row>
    <row r="254" spans="1:17">
      <c r="A254" s="55"/>
      <c r="B254" s="55"/>
      <c r="C254" s="55"/>
      <c r="D254" s="56"/>
      <c r="E254" s="57"/>
      <c r="F254" s="56" t="str">
        <f t="shared" si="4"/>
        <v/>
      </c>
      <c r="G254" s="55"/>
      <c r="H254" s="58"/>
      <c r="I254" s="55"/>
      <c r="J254" s="55"/>
      <c r="K254" s="59"/>
      <c r="L254" s="55"/>
      <c r="M254" s="55"/>
      <c r="N254" s="59"/>
      <c r="O254" s="55"/>
      <c r="P254" s="55"/>
      <c r="Q254" s="55"/>
    </row>
    <row r="255" spans="1:17">
      <c r="A255" s="55"/>
      <c r="B255" s="55"/>
      <c r="C255" s="55"/>
      <c r="D255" s="56"/>
      <c r="E255" s="57"/>
      <c r="F255" s="56" t="str">
        <f t="shared" si="4"/>
        <v/>
      </c>
      <c r="G255" s="55"/>
      <c r="H255" s="58"/>
      <c r="I255" s="55"/>
      <c r="J255" s="55"/>
      <c r="K255" s="59"/>
      <c r="L255" s="55"/>
      <c r="M255" s="55"/>
      <c r="N255" s="59"/>
      <c r="O255" s="55"/>
      <c r="P255" s="55"/>
      <c r="Q255" s="55"/>
    </row>
    <row r="256" spans="1:17">
      <c r="A256" s="55"/>
      <c r="B256" s="55"/>
      <c r="C256" s="55"/>
      <c r="D256" s="56"/>
      <c r="E256" s="57"/>
      <c r="F256" s="56" t="str">
        <f t="shared" si="4"/>
        <v/>
      </c>
      <c r="G256" s="55"/>
      <c r="H256" s="58"/>
      <c r="I256" s="55"/>
      <c r="J256" s="55"/>
      <c r="K256" s="59"/>
      <c r="L256" s="55"/>
      <c r="M256" s="55"/>
      <c r="N256" s="59"/>
      <c r="O256" s="55"/>
      <c r="P256" s="55"/>
      <c r="Q256" s="55"/>
    </row>
    <row r="257" spans="1:17">
      <c r="A257" s="55"/>
      <c r="B257" s="55"/>
      <c r="C257" s="55"/>
      <c r="D257" s="56"/>
      <c r="E257" s="57"/>
      <c r="F257" s="56" t="str">
        <f t="shared" si="4"/>
        <v/>
      </c>
      <c r="G257" s="55"/>
      <c r="H257" s="58"/>
      <c r="I257" s="55"/>
      <c r="J257" s="55"/>
      <c r="K257" s="59"/>
      <c r="L257" s="55"/>
      <c r="M257" s="55"/>
      <c r="N257" s="59"/>
      <c r="O257" s="55"/>
      <c r="P257" s="55"/>
      <c r="Q257" s="55"/>
    </row>
    <row r="258" spans="1:17">
      <c r="A258" s="55"/>
      <c r="B258" s="55"/>
      <c r="C258" s="55"/>
      <c r="D258" s="56"/>
      <c r="E258" s="57"/>
      <c r="F258" s="56" t="str">
        <f t="shared" si="4"/>
        <v/>
      </c>
      <c r="G258" s="55"/>
      <c r="H258" s="58"/>
      <c r="I258" s="55"/>
      <c r="J258" s="55"/>
      <c r="K258" s="59"/>
      <c r="L258" s="55"/>
      <c r="M258" s="55"/>
      <c r="N258" s="59"/>
      <c r="O258" s="55"/>
      <c r="P258" s="55"/>
      <c r="Q258" s="55"/>
    </row>
    <row r="259" spans="1:17">
      <c r="A259" s="55"/>
      <c r="B259" s="55"/>
      <c r="C259" s="55"/>
      <c r="D259" s="56"/>
      <c r="E259" s="57"/>
      <c r="F259" s="56" t="str">
        <f t="shared" ref="F259:F268" si="5">IF(OR(D259="",E259=""),"",D259*E259)</f>
        <v/>
      </c>
      <c r="G259" s="55"/>
      <c r="H259" s="58"/>
      <c r="I259" s="55"/>
      <c r="J259" s="55"/>
      <c r="K259" s="59"/>
      <c r="L259" s="55"/>
      <c r="M259" s="55"/>
      <c r="N259" s="59"/>
      <c r="O259" s="55"/>
      <c r="P259" s="55"/>
      <c r="Q259" s="55"/>
    </row>
    <row r="260" spans="1:17">
      <c r="A260" s="55"/>
      <c r="B260" s="55"/>
      <c r="C260" s="55"/>
      <c r="D260" s="56"/>
      <c r="E260" s="57"/>
      <c r="F260" s="56" t="str">
        <f t="shared" si="5"/>
        <v/>
      </c>
      <c r="G260" s="55"/>
      <c r="H260" s="58"/>
      <c r="I260" s="55"/>
      <c r="J260" s="55"/>
      <c r="K260" s="59"/>
      <c r="L260" s="55"/>
      <c r="M260" s="55"/>
      <c r="N260" s="59"/>
      <c r="O260" s="55"/>
      <c r="P260" s="55"/>
      <c r="Q260" s="55"/>
    </row>
    <row r="261" spans="1:17">
      <c r="A261" s="55"/>
      <c r="B261" s="55"/>
      <c r="C261" s="55"/>
      <c r="D261" s="56"/>
      <c r="E261" s="57"/>
      <c r="F261" s="56" t="str">
        <f t="shared" si="5"/>
        <v/>
      </c>
      <c r="G261" s="55"/>
      <c r="H261" s="58"/>
      <c r="I261" s="55"/>
      <c r="J261" s="55"/>
      <c r="K261" s="59"/>
      <c r="L261" s="55"/>
      <c r="M261" s="55"/>
      <c r="N261" s="59"/>
      <c r="O261" s="55"/>
      <c r="P261" s="55"/>
      <c r="Q261" s="55"/>
    </row>
    <row r="262" spans="1:17">
      <c r="A262" s="55"/>
      <c r="B262" s="55"/>
      <c r="C262" s="55"/>
      <c r="D262" s="56"/>
      <c r="E262" s="57"/>
      <c r="F262" s="56" t="str">
        <f t="shared" si="5"/>
        <v/>
      </c>
      <c r="G262" s="55"/>
      <c r="H262" s="58"/>
      <c r="I262" s="55"/>
      <c r="J262" s="55"/>
      <c r="K262" s="59"/>
      <c r="L262" s="55"/>
      <c r="M262" s="55"/>
      <c r="N262" s="59"/>
      <c r="O262" s="55"/>
      <c r="P262" s="55"/>
      <c r="Q262" s="55"/>
    </row>
    <row r="263" spans="1:17">
      <c r="A263" s="55"/>
      <c r="B263" s="55"/>
      <c r="C263" s="55"/>
      <c r="D263" s="56"/>
      <c r="E263" s="57"/>
      <c r="F263" s="56" t="str">
        <f t="shared" si="5"/>
        <v/>
      </c>
      <c r="G263" s="55"/>
      <c r="H263" s="58"/>
      <c r="I263" s="55"/>
      <c r="J263" s="55"/>
      <c r="K263" s="59"/>
      <c r="L263" s="55"/>
      <c r="M263" s="55"/>
      <c r="N263" s="59"/>
      <c r="O263" s="55"/>
      <c r="P263" s="55"/>
      <c r="Q263" s="55"/>
    </row>
    <row r="264" spans="1:17">
      <c r="A264" s="55"/>
      <c r="B264" s="55"/>
      <c r="C264" s="55"/>
      <c r="D264" s="56"/>
      <c r="E264" s="57"/>
      <c r="F264" s="56" t="str">
        <f t="shared" si="5"/>
        <v/>
      </c>
      <c r="G264" s="55"/>
      <c r="H264" s="58"/>
      <c r="I264" s="55"/>
      <c r="J264" s="55"/>
      <c r="K264" s="59"/>
      <c r="L264" s="55"/>
      <c r="M264" s="55"/>
      <c r="N264" s="59"/>
      <c r="O264" s="55"/>
      <c r="P264" s="55"/>
      <c r="Q264" s="55"/>
    </row>
    <row r="265" spans="1:17">
      <c r="A265" s="55"/>
      <c r="B265" s="55"/>
      <c r="C265" s="55"/>
      <c r="D265" s="56"/>
      <c r="E265" s="57"/>
      <c r="F265" s="56" t="str">
        <f t="shared" si="5"/>
        <v/>
      </c>
      <c r="G265" s="55"/>
      <c r="H265" s="58"/>
      <c r="I265" s="55"/>
      <c r="J265" s="55"/>
      <c r="K265" s="59"/>
      <c r="L265" s="55"/>
      <c r="M265" s="55"/>
      <c r="N265" s="59"/>
      <c r="O265" s="55"/>
      <c r="P265" s="55"/>
      <c r="Q265" s="55"/>
    </row>
    <row r="266" spans="1:17">
      <c r="A266" s="55"/>
      <c r="B266" s="55"/>
      <c r="C266" s="55"/>
      <c r="D266" s="56"/>
      <c r="E266" s="57"/>
      <c r="F266" s="56" t="str">
        <f t="shared" si="5"/>
        <v/>
      </c>
      <c r="G266" s="55"/>
      <c r="H266" s="58"/>
      <c r="I266" s="55"/>
      <c r="J266" s="55"/>
      <c r="K266" s="59"/>
      <c r="L266" s="55"/>
      <c r="M266" s="55"/>
      <c r="N266" s="59"/>
      <c r="O266" s="55"/>
      <c r="P266" s="55"/>
      <c r="Q266" s="55"/>
    </row>
    <row r="267" spans="1:17">
      <c r="A267" s="55"/>
      <c r="B267" s="55"/>
      <c r="C267" s="55"/>
      <c r="D267" s="56"/>
      <c r="E267" s="57"/>
      <c r="F267" s="56" t="str">
        <f t="shared" si="5"/>
        <v/>
      </c>
      <c r="G267" s="55"/>
      <c r="H267" s="58"/>
      <c r="I267" s="55"/>
      <c r="J267" s="55"/>
      <c r="K267" s="59"/>
      <c r="L267" s="55"/>
      <c r="M267" s="55"/>
      <c r="N267" s="59"/>
      <c r="O267" s="55"/>
      <c r="P267" s="55"/>
      <c r="Q267" s="55"/>
    </row>
    <row r="268" spans="1:17">
      <c r="A268" s="55"/>
      <c r="B268" s="55"/>
      <c r="C268" s="55"/>
      <c r="D268" s="56"/>
      <c r="E268" s="57"/>
      <c r="F268" s="56" t="str">
        <f t="shared" si="5"/>
        <v/>
      </c>
      <c r="G268" s="55"/>
      <c r="H268" s="58"/>
      <c r="I268" s="55"/>
      <c r="J268" s="55"/>
      <c r="K268" s="59"/>
      <c r="L268" s="55"/>
      <c r="M268" s="55"/>
      <c r="N268" s="59"/>
      <c r="O268" s="55"/>
      <c r="P268" s="55"/>
      <c r="Q268" s="55"/>
    </row>
  </sheetData>
  <autoFilter ref="A4:Q268" xr:uid="{00000000-0009-0000-0000-000003000000}"/>
  <dataValidations count="8">
    <dataValidation type="list" allowBlank="1" errorTitle="Fora da lista" error="Escolha um item da lista. Para incluir outro, use a aba PARAMETROS." promptTitle="Status" prompt="Clique na seta e escolha." sqref="N17 M5:M268" xr:uid="{00000000-0002-0000-0300-000006000000}">
      <formula1>ListaStatus</formula1>
    </dataValidation>
    <dataValidation type="list" allowBlank="1" errorTitle="Fora da lista" error="Escolha um item da lista. Para incluir outro, use a aba PARAMETROS." promptTitle="Gerente" prompt="Clique na seta e escolha." sqref="A5:A268" xr:uid="{00000000-0002-0000-0300-000000000000}">
      <formula1>ListaGerentes</formula1>
    </dataValidation>
    <dataValidation type="list" allowBlank="1" errorTitle="Fora da lista" error="Escolha um item da lista. Para incluir outro, use a aba PARAMETROS." promptTitle="Operação" prompt="Clique na seta e escolha." sqref="C5:C268" xr:uid="{00000000-0002-0000-0300-000001000000}">
      <formula1>ListaOperacoes</formula1>
    </dataValidation>
    <dataValidation type="list" allowBlank="1" errorTitle="Fora da lista" error="Escolha um item da lista. Para incluir outro, use a aba PARAMETROS." promptTitle="Mandato" prompt="Clique na seta e escolha." sqref="G5:G268" xr:uid="{00000000-0002-0000-0300-000002000000}">
      <formula1>ListaMandato</formula1>
    </dataValidation>
    <dataValidation type="list" allowBlank="1" errorTitle="Fora da lista" error="Escolha um item da lista. Para incluir outro, use a aba PARAMETROS." promptTitle="Instituição" prompt="Clique na seta e escolha." sqref="I5:I268" xr:uid="{00000000-0002-0000-0300-000003000000}">
      <formula1>ListaParceiros</formula1>
    </dataValidation>
    <dataValidation type="list" allowBlank="1" errorTitle="Fora da lista" error="Escolha um item da lista. Para incluir outro, use a aba PARAMETROS." promptTitle="Parceiro Indicador" prompt="Clique na seta e escolha." sqref="J5:J268" xr:uid="{00000000-0002-0000-0300-000004000000}">
      <formula1>ListaIndicadores</formula1>
    </dataValidation>
    <dataValidation type="list" allowBlank="1" errorTitle="Fora da lista" error="Escolha um item da lista. Para incluir outro, use a aba PARAMETROS." promptTitle="Fluxo" prompt="Clique na seta e escolha." sqref="L5:L268" xr:uid="{00000000-0002-0000-0300-000005000000}">
      <formula1>ListaFluxo</formula1>
    </dataValidation>
    <dataValidation type="list" allowBlank="1" errorTitle="Fora da lista" error="Escolha um item da lista. Para incluir outro, use a aba PARAMETROS." promptTitle="Motivo De Recusa" prompt="Clique na seta e escolha." sqref="O5:O268" xr:uid="{00000000-0002-0000-0300-000007000000}">
      <formula1>ListaMotivos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B20"/>
  <sheetViews>
    <sheetView showGridLines="0" topLeftCell="I1" workbookViewId="0"/>
  </sheetViews>
  <sheetFormatPr defaultRowHeight="14.45"/>
  <cols>
    <col min="1" max="1" width="3" customWidth="1"/>
    <col min="2" max="2" width="104" customWidth="1"/>
  </cols>
  <sheetData>
    <row r="2" spans="2:2" ht="17.45">
      <c r="B2" s="1" t="s">
        <v>475</v>
      </c>
    </row>
    <row r="4" spans="2:2">
      <c r="B4" s="60" t="s">
        <v>476</v>
      </c>
    </row>
    <row r="5" spans="2:2" ht="32.1" customHeight="1">
      <c r="B5" s="61" t="s">
        <v>477</v>
      </c>
    </row>
    <row r="7" spans="2:2">
      <c r="B7" s="60" t="s">
        <v>478</v>
      </c>
    </row>
    <row r="8" spans="2:2" ht="32.1" customHeight="1">
      <c r="B8" s="61" t="s">
        <v>479</v>
      </c>
    </row>
    <row r="10" spans="2:2">
      <c r="B10" s="60" t="s">
        <v>480</v>
      </c>
    </row>
    <row r="11" spans="2:2" ht="32.1" customHeight="1">
      <c r="B11" s="61" t="s">
        <v>481</v>
      </c>
    </row>
    <row r="13" spans="2:2">
      <c r="B13" s="60" t="s">
        <v>482</v>
      </c>
    </row>
    <row r="14" spans="2:2" ht="32.1" customHeight="1">
      <c r="B14" s="61" t="s">
        <v>483</v>
      </c>
    </row>
    <row r="16" spans="2:2">
      <c r="B16" s="60" t="s">
        <v>484</v>
      </c>
    </row>
    <row r="17" spans="2:2" ht="32.1" customHeight="1">
      <c r="B17" s="61" t="s">
        <v>485</v>
      </c>
    </row>
    <row r="19" spans="2:2">
      <c r="B19" s="60" t="s">
        <v>486</v>
      </c>
    </row>
    <row r="20" spans="2:2" ht="32.1" customHeight="1">
      <c r="B20" s="61" t="s">
        <v>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Usuário Convidado</cp:lastModifiedBy>
  <cp:revision/>
  <dcterms:created xsi:type="dcterms:W3CDTF">2026-08-03T02:43:28Z</dcterms:created>
  <dcterms:modified xsi:type="dcterms:W3CDTF">2026-09-24T12:57:39Z</dcterms:modified>
  <cp:category/>
  <cp:contentStatus/>
</cp:coreProperties>
</file>